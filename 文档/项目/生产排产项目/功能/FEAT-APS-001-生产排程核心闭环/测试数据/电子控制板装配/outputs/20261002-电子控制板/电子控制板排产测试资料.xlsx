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4ab1cf19e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131788ce9dc4c14"/>
    <x:sheet xmlns:r="http://schemas.openxmlformats.org/officeDocument/2006/relationships" name="模块字段" sheetId="2" r:id="R69398453e7934132"/>
    <x:sheet xmlns:r="http://schemas.openxmlformats.org/officeDocument/2006/relationships" name="字段字典" sheetId="3" r:id="R20f131728a1e43ae"/>
    <x:sheet xmlns:r="http://schemas.openxmlformats.org/officeDocument/2006/relationships" name="产品物料" sheetId="4" r:id="Rdf6a36d19f9040ab"/>
    <x:sheet xmlns:r="http://schemas.openxmlformats.org/officeDocument/2006/relationships" name="组织中心" sheetId="5" r:id="Rbabfbc8639fe4fc3"/>
    <x:sheet xmlns:r="http://schemas.openxmlformats.org/officeDocument/2006/relationships" name="资源" sheetId="6" r:id="R3e6915b871d64890"/>
    <x:sheet xmlns:r="http://schemas.openxmlformats.org/officeDocument/2006/relationships" name="技能" sheetId="7" r:id="R9300179fdf6242c6"/>
    <x:sheet xmlns:r="http://schemas.openxmlformats.org/officeDocument/2006/relationships" name="资源日历" sheetId="8" r:id="R3189dad919074378"/>
    <x:sheet xmlns:r="http://schemas.openxmlformats.org/officeDocument/2006/relationships" name="工序参数" sheetId="9" r:id="R0eceb961cc134cbc"/>
    <x:sheet xmlns:r="http://schemas.openxmlformats.org/officeDocument/2006/relationships" name="工艺路线" sheetId="10" r:id="Re01fa1af798747b9"/>
    <x:sheet xmlns:r="http://schemas.openxmlformats.org/officeDocument/2006/relationships" name="订单" sheetId="11" r:id="R4095c3d552444b17"/>
    <x:sheet xmlns:r="http://schemas.openxmlformats.org/officeDocument/2006/relationships" name="材料准备" sheetId="12" r:id="R725af62ea68d4d40"/>
    <x:sheet xmlns:r="http://schemas.openxmlformats.org/officeDocument/2006/relationships" name="测试场景" sheetId="13" r:id="Rb8a4c82e6d894bd4"/>
    <x:sheet xmlns:r="http://schemas.openxmlformats.org/officeDocument/2006/relationships" name="手算基线" sheetId="14" r:id="R1bca36561570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"/>
    <x:numFmt numFmtId="202" formatCode="hh:mm"/>
  </x:numFmts>
  <x:fonts count="8">
    <x:font>
      <x:sz val="11"/>
      <x:name val="Carlito"/>
    </x:font>
    <x:font>
      <x:sz val="10"/>
      <x:color rgb="FF263445"/>
      <x:name val="Arial"/>
    </x:font>
    <x:font>
      <x:b/>
      <x:sz val="14"/>
      <x:color rgb="FF263445"/>
      <x:name val="Arial"/>
    </x:font>
    <x:font>
      <x:b/>
      <x:sz val="10"/>
      <x:color rgb="FFFFFFFF"/>
      <x:name val="Arial"/>
    </x:font>
    <x:font>
      <x:b/>
      <x:sz val="10"/>
      <x:color rgb="FF53677A"/>
      <x:name val="Arial"/>
    </x:font>
    <x:font>
      <x:sz val="10"/>
      <x:color rgb="FF53677A"/>
      <x:name val="Arial"/>
    </x:font>
    <x:font>
      <x:b/>
      <x:sz val="10"/>
      <x:name val="Arial"/>
    </x:font>
    <x:font>
      <x:b/>
      <x:sz val="10"/>
      <x:color rgb="FF2634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5A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5">
    <x:border/>
    <x:border>
      <x:bottom style="thin">
        <x:color rgb="FFAAB5C2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11f49c8f9404a" /><Relationship Type="http://schemas.openxmlformats.org/officeDocument/2006/relationships/theme" Target="/xl/theme/theme1.xml" Id="Re8a5f3d1b63e49a4" /><Relationship Type="http://schemas.microsoft.com/office/2022/11/relationships/FeaturePropertyBag" Target="/xl/featurePropertyBag/featurePropertyBag.xml" Id="R1e76bbabfeb140e7" /><Relationship Type="http://schemas.openxmlformats.org/officeDocument/2006/relationships/sharedStrings" Target="/xl/sharedStrings.xml" Id="R64117b8723b94e63" /><Relationship Type="http://schemas.openxmlformats.org/officeDocument/2006/relationships/worksheet" Target="/xl/worksheets/sheet1.xml" Id="R5131788ce9dc4c14" /><Relationship Type="http://schemas.openxmlformats.org/officeDocument/2006/relationships/worksheet" Target="/xl/worksheets/sheet2.xml" Id="R69398453e7934132" /><Relationship Type="http://schemas.openxmlformats.org/officeDocument/2006/relationships/worksheet" Target="/xl/worksheets/sheet3.xml" Id="R20f131728a1e43ae" /><Relationship Type="http://schemas.openxmlformats.org/officeDocument/2006/relationships/worksheet" Target="/xl/worksheets/sheet4.xml" Id="Rdf6a36d19f9040ab" /><Relationship Type="http://schemas.openxmlformats.org/officeDocument/2006/relationships/worksheet" Target="/xl/worksheets/sheet5.xml" Id="Rbabfbc8639fe4fc3" /><Relationship Type="http://schemas.openxmlformats.org/officeDocument/2006/relationships/worksheet" Target="/xl/worksheets/sheet6.xml" Id="R3e6915b871d64890" /><Relationship Type="http://schemas.openxmlformats.org/officeDocument/2006/relationships/worksheet" Target="/xl/worksheets/sheet7.xml" Id="R9300179fdf6242c6" /><Relationship Type="http://schemas.openxmlformats.org/officeDocument/2006/relationships/worksheet" Target="/xl/worksheets/sheet8.xml" Id="R3189dad919074378" /><Relationship Type="http://schemas.openxmlformats.org/officeDocument/2006/relationships/worksheet" Target="/xl/worksheets/sheet9.xml" Id="R0eceb961cc134cbc" /><Relationship Type="http://schemas.openxmlformats.org/officeDocument/2006/relationships/worksheet" Target="/xl/worksheets/sheet10.xml" Id="Re01fa1af798747b9" /><Relationship Type="http://schemas.openxmlformats.org/officeDocument/2006/relationships/worksheet" Target="/xl/worksheets/sheet11.xml" Id="R4095c3d552444b17" /><Relationship Type="http://schemas.openxmlformats.org/officeDocument/2006/relationships/worksheet" Target="/xl/worksheets/sheet12.xml" Id="R725af62ea68d4d40" /><Relationship Type="http://schemas.openxmlformats.org/officeDocument/2006/relationships/worksheet" Target="/xl/worksheets/sheet13.xml" Id="Rb8a4c82e6d894bd4" /><Relationship Type="http://schemas.openxmlformats.org/officeDocument/2006/relationships/worksheet" Target="/xl/worksheets/sheet14.xml" Id="R1bca365615704c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7" hidden="0" customWidth="1"/>
  </x:cols>
  <x:sheetData>
    <x:row r="2" ht="27" customHeight="1">
      <x:c r="A2" s="4" t="str">
        <x:v>电子控制板排产：模块与测试数据</x:v>
      </x:c>
      <x:c r="B2" s="3"/>
    </x:row>
    <x:row r="3">
      <x:c r="A3" s="2"/>
      <x:c r="B3" s="2"/>
    </x:row>
    <x:row r="4" ht="26" customHeight="1">
      <x:c r="A4" s="9" t="str">
        <x:v>项目</x:v>
      </x:c>
      <x:c r="B4" s="10" t="str">
        <x:v>内容</x:v>
      </x:c>
    </x:row>
    <x:row r="5" ht="26" customHeight="1">
      <x:c r="A5" s="2" t="str">
        <x:v>数据性质</x:v>
      </x:c>
      <x:c r="B5" s="2" t="str">
        <x:v>公开产品作参考；工厂人员、订单、数量、工时与日历均为测试设定</x:v>
      </x:c>
    </x:row>
    <x:row r="6" ht="26" customHeight="1">
      <x:c r="A6" s="2" t="str">
        <x:v>行业边界</x:v>
      </x:c>
      <x:c r="B6" s="2" t="str">
        <x:v>已贴片半成品投入后段：补焊 → 烧录 → 功能测试 → 检验 → 包装</x:v>
      </x:c>
    </x:row>
    <x:row r="7" ht="26" customHeight="1">
      <x:c r="A7" s="2" t="str">
        <x:v>数量范围</x:v>
      </x:c>
      <x:c r="B7" s="2" t="str">
        <x:v>3种测试产品、6张订单、380件；1车间、5中心、6人、6设备/工位</x:v>
      </x:c>
    </x:row>
    <x:row r="8" ht="26" customHeight="1">
      <x:c r="A8" s="2" t="str">
        <x:v>第一步</x:v>
      </x:c>
      <x:c r="B8" s="2" t="str">
        <x:v>只选20件订单001；09:00开始；无等待时最早10:40完工</x:v>
      </x:c>
    </x:row>
    <x:row r="9" ht="26" customHeight="1">
      <x:c r="A9" s="2" t="str">
        <x:v>数据顺序</x:v>
      </x:c>
      <x:c r="B9" s="2" t="str">
        <x:v>车间中心 → 人员设备 → 技能日历 → 产品工序 → 路线 → 订单 → 材料</x:v>
      </x:c>
    </x:row>
    <x:row r="10" ht="26" customHeight="1">
      <x:c r="A10" s="2" t="str">
        <x:v>测试顺序</x:v>
      </x:c>
      <x:c r="B10" s="2" t="str">
        <x:v>先正常基线，再分别运行7个异常或约束变体；不要全部叠加</x:v>
      </x:c>
    </x:row>
    <x:row r="11" ht="26" customHeight="1">
      <x:c r="A11" s="2" t="str">
        <x:v>时间与单位</x:v>
      </x:c>
      <x:c r="B11" s="2" t="str">
        <x:v>北京时间 Asia/Shanghai；Excel日期显示本地时间；PCS、秒、分钟</x:v>
      </x:c>
    </x:row>
    <x:row r="12" ht="26" customHeight="1">
      <x:c r="A12" s="2" t="str">
        <x:v>字段用途</x:v>
      </x:c>
      <x:c r="B12" s="2" t="str">
        <x:v>字段字典来自当前对象；商业厂商关键字段参见模块字段及调研文档</x:v>
      </x:c>
    </x:row>
    <x:row r="13" ht="26" customHeight="1">
      <x:c r="A13" s="2" t="str">
        <x:v>编辑方式</x:v>
      </x:c>
      <x:c r="B13" s="2" t="str">
        <x:v>修改工序参数中的工时；手算基线从同一参数计算。数量在手算基线B5</x:v>
      </x:c>
    </x:row>
    <x:row r="14" ht="26" customHeight="1">
      <x:c r="A14" s="2" t="str">
        <x:v>当前结果</x:v>
      </x:c>
      <x:c r="B14" s="2" t="str">
        <x:v>只整理本地文件；没有导入数据库、求解、发布、派工或报工</x:v>
      </x:c>
    </x:row>
    <x:row r="15" ht="26" customHeight="1">
      <x:c r="A15" s="2" t="str">
        <x:v>JSON用途</x:v>
      </x:c>
      <x:c r="B15" s="2" t="str">
        <x:v>保存稳定业务编码及关联；需要适配现有API，不能直接当作一键导入</x:v>
      </x:c>
    </x:row>
    <x:row r="16" ht="26" customHeight="1">
      <x:c r="A16" s="2" t="str">
        <x:v>真实校准</x:v>
      </x:c>
      <x:c r="B16" s="2" t="str">
        <x:v>需实际工艺卡、工时采样、人员技能、资源日历、订单和物料准备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  <x:col min="3" max="3" width="27" hidden="0" customWidth="1"/>
    <x:col min="4" max="4" width="19" hidden="0" customWidth="1"/>
    <x:col min="5" max="5" width="48" hidden="0" customWidth="1"/>
    <x:col min="6" max="6" width="3" hidden="0" customWidth="1"/>
    <x:col min="7" max="7" width="105" hidden="0" customWidth="1"/>
  </x:cols>
  <x:sheetData>
    <x:row r="2" ht="27" customHeight="1">
      <x:c r="A2" s="4" t="str">
        <x:v>成熟 APS 模块与关键业务字段</x:v>
      </x:c>
      <x:c r="B2" s="3"/>
      <x:c r="C2" s="3"/>
      <x:c r="D2" s="3"/>
      <x:c r="E2" s="3"/>
      <x:c r="F2" s="3"/>
      <x:c r="G2" s="3"/>
    </x:row>
    <x:row r="3">
      <x:c r="A3" s="2"/>
      <x:c r="B3" s="2"/>
      <x:c r="C3" s="2"/>
      <x:c r="D3" s="2"/>
      <x:c r="E3" s="2"/>
      <x:c r="F3" s="2"/>
      <x:c r="G3" s="2"/>
    </x:row>
    <x:row r="4" ht="26" customHeight="1">
      <x:c r="A4" s="9" t="str">
        <x:v>模块</x:v>
      </x:c>
      <x:c r="B4" s="12" t="str">
        <x:v>关键字段</x:v>
      </x:c>
      <x:c r="C4" s="12" t="str">
        <x:v>官方参考</x:v>
      </x:c>
      <x:c r="D4" s="12" t="str">
        <x:v>当前页面</x:v>
      </x:c>
      <x:c r="E4" s="12" t="str">
        <x:v>本项目边界</x:v>
      </x:c>
      <x:c r="F4" s="12" t="str"/>
      <x:c r="G4" s="17" t="str">
        <x:v>来源网址</x:v>
      </x:c>
    </x:row>
    <x:row r="5" ht="38" customHeight="1">
      <x:c r="A5" s="2" t="str">
        <x:v>组织与中心</x:v>
      </x:c>
      <x:c r="B5" s="19" t="str">
        <x:v>车间编码、名称、状态；中心编码、名称、归属、类型、容量、单位</x:v>
      </x:c>
      <x:c r="C5" s="19" t="str">
        <x:v>Asprova / PlanetTogether</x:v>
      </x:c>
      <x:c r="D5" s="19" t="str">
        <x:v>资源管理</x:v>
      </x:c>
      <x:c r="E5" s="19" t="str">
        <x:v>已有对象；单站点不新增工厂表</x:v>
      </x:c>
      <x:c r="F5" s="2" t="str"/>
      <x:c r="G5" s="18" t="str">
        <x:v>https://www.planettogether.com/hubfs/Integrating%20with%20PlanetTogether%20APS.pdf</x:v>
      </x:c>
    </x:row>
    <x:row r="6" ht="38" customHeight="1">
      <x:c r="A6" s="2" t="str">
        <x:v>人员设备工装</x:v>
      </x:c>
      <x:c r="B6" s="19" t="str">
        <x:v>资源编码、名称、类型、车间、中心、容量、单位、状态、账号关联</x:v>
      </x:c>
      <x:c r="C6" s="19" t="str">
        <x:v>PlanetTogether</x:v>
      </x:c>
      <x:c r="D6" s="19" t="str">
        <x:v>资源管理</x:v>
      </x:c>
      <x:c r="E6" s="19" t="str">
        <x:v>已有统一资源；测试人员没有真实账号</x:v>
      </x:c>
      <x:c r="F6" s="2" t="str"/>
      <x:c r="G6" s="18" t="str">
        <x:v>https://www.planettogether.com/hubfs/Integrating%20with%20PlanetTogether%20APS.pdf</x:v>
      </x:c>
    </x:row>
    <x:row r="7" ht="38" customHeight="1">
      <x:c r="A7" s="2" t="str">
        <x:v>技能资格</x:v>
      </x:c>
      <x:c r="B7" s="19" t="str">
        <x:v>人员、技能编码、名称、等级、有效开始、有效结束、状态</x:v>
      </x:c>
      <x:c r="C7" s="19" t="str">
        <x:v>PlanetTogether / 本项目</x:v>
      </x:c>
      <x:c r="D7" s="19" t="str">
        <x:v>资源管理</x:v>
      </x:c>
      <x:c r="E7" s="19" t="str">
        <x:v>已有技能对象；资格有效期采用本项目字段</x:v>
      </x:c>
      <x:c r="F7" s="2" t="str"/>
      <x:c r="G7" s="18" t="str">
        <x:v>https://www.planettogether.com/hubfs/Integrating%20with%20PlanetTogether%20APS.pdf</x:v>
      </x:c>
    </x:row>
    <x:row r="8" ht="38" customHeight="1">
      <x:c r="A8" s="2" t="str">
        <x:v>资源日历</x:v>
      </x:c>
      <x:c r="B8" s="19" t="str">
        <x:v>资源、可用类型、开始、结束、容量比例、来源、原因</x:v>
      </x:c>
      <x:c r="C8" s="19" t="str">
        <x:v>Asprova / PlanetTogether</x:v>
      </x:c>
      <x:c r="D8" s="19" t="str">
        <x:v>资源管理</x:v>
      </x:c>
      <x:c r="E8" s="19" t="str">
        <x:v>已有绝对时间窗；循环班制不在本包实现</x:v>
      </x:c>
      <x:c r="F8" s="2" t="str"/>
      <x:c r="G8" s="18" t="str">
        <x:v>https://www.asprova.com/en/wp-content/uploads/asprova/IntroductionManual1.pdf</x:v>
      </x:c>
    </x:row>
    <x:row r="9" ht="38" customHeight="1">
      <x:c r="A9" s="2" t="str">
        <x:v>产品物料</x:v>
      </x:c>
      <x:c r="B9" s="19" t="str">
        <x:v>编码、名称、产品/半成品/物料类别、规格、计量单位、状态</x:v>
      </x:c>
      <x:c r="C9" s="19" t="str">
        <x:v>Asprova / PlanetTogether</x:v>
      </x:c>
      <x:c r="D9" s="19" t="str">
        <x:v>工艺路线</x:v>
      </x:c>
      <x:c r="E9" s="19" t="str">
        <x:v>已有主数据；完整采购库存台账不在 APS 中重建</x:v>
      </x:c>
      <x:c r="F9" s="2" t="str"/>
      <x:c r="G9" s="18" t="str">
        <x:v>https://www.asprova.com/en/asprova/modules/data_maintenance.html</x:v>
      </x:c>
    </x:row>
    <x:row r="10" ht="38" customHeight="1">
      <x:c r="A10" s="2" t="str">
        <x:v>工序工时</x:v>
      </x:c>
      <x:c r="B10" s="19" t="str">
        <x:v>编码、名称、模式、质量门；阶段、固定秒数、每件秒数、人机要求、技能等级</x:v>
      </x:c>
      <x:c r="C10" s="19" t="str">
        <x:v>Asprova</x:v>
      </x:c>
      <x:c r="D10" s="19" t="str">
        <x:v>工艺路线</x:v>
      </x:c>
      <x:c r="E10" s="19" t="str">
        <x:v>已有阶段与要求；专属资源产能待定</x:v>
      </x:c>
      <x:c r="F10" s="2" t="str"/>
      <x:c r="G10" s="18" t="str">
        <x:v>https://www.asprova.com/en/asprova/modules/data_maintenance.html</x:v>
      </x:c>
    </x:row>
    <x:row r="11" ht="38" customHeight="1">
      <x:c r="A11" s="2" t="str">
        <x:v>工艺路线</x:v>
      </x:c>
      <x:c r="B11" s="19" t="str">
        <x:v>产品、路线编码、版本、有效期、节点、前后置、依赖类型、转移量、等待、终点</x:v>
      </x:c>
      <x:c r="C11" s="19" t="str">
        <x:v>Asprova</x:v>
      </x:c>
      <x:c r="D11" s="19" t="str">
        <x:v>工艺路线</x:v>
      </x:c>
      <x:c r="E11" s="19" t="str">
        <x:v>本包只用完成依赖；合批另测</x:v>
      </x:c>
      <x:c r="F11" s="2" t="str"/>
      <x:c r="G11" s="18" t="str">
        <x:v>https://www.asprova.com/en/asprova/modules/data_maintenance.html</x:v>
      </x:c>
    </x:row>
    <x:row r="12" ht="38" customHeight="1">
      <x:c r="A12" s="2" t="str">
        <x:v>订单批次任务</x:v>
      </x:c>
      <x:c r="B12" s="19" t="str">
        <x:v>订单号、来源、客户、优先级、交期、最早开工；产品行、数量、路线、批次、任务状态</x:v>
      </x:c>
      <x:c r="C12" s="19" t="str">
        <x:v>Asprova</x:v>
      </x:c>
      <x:c r="D12" s="19" t="str">
        <x:v>生产订单</x:v>
      </x:c>
      <x:c r="E12" s="19" t="str">
        <x:v>已有订单与展开；本包全部是测试订单</x:v>
      </x:c>
      <x:c r="F12" s="2" t="str"/>
      <x:c r="G12" s="18" t="str">
        <x:v>https://www.asprova.com/en/wp-content/uploads/asprova/IntroductionManual1.pdf</x:v>
      </x:c>
    </x:row>
    <x:row r="13" ht="38" customHeight="1">
      <x:c r="A13" s="2" t="str">
        <x:v>材料与就绪</x:v>
      </x:c>
      <x:c r="B13" s="19" t="str">
        <x:v>目标任务、物料、需求量、来源、需求类型、单位、准备状态、缺项原因</x:v>
      </x:c>
      <x:c r="C13" s="19" t="str">
        <x:v>Siemens / PlanetTogether</x:v>
      </x:c>
      <x:c r="D13" s="19" t="str">
        <x:v>数据就绪</x:v>
      </x:c>
      <x:c r="E13" s="19" t="str">
        <x:v>材料准备表是测试输入；不能冒充真实库存</x:v>
      </x:c>
      <x:c r="F13" s="2" t="str"/>
      <x:c r="G13" s="18" t="str">
        <x:v>https://www.siemens.com/en-us/products/opcenter/advanced-planning-scheduling-aps/advanced-scheduling-software/</x:v>
      </x:c>
    </x:row>
    <x:row r="14" ht="38" customHeight="1">
      <x:c r="A14" s="2" t="str">
        <x:v>排程计划</x:v>
      </x:c>
      <x:c r="B14" s="19" t="str">
        <x:v>范围、窗口、策略、输入版本、候选、任务起止、资源分配、锁定、冲突、发布状态</x:v>
      </x:c>
      <x:c r="C14" s="19" t="str">
        <x:v>Siemens</x:v>
      </x:c>
      <x:c r="D14" s="19" t="str">
        <x:v>排程工作台</x:v>
      </x:c>
      <x:c r="E14" s="19" t="str">
        <x:v>结果由系统生成；不预填正式计划</x:v>
      </x:c>
      <x:c r="F14" s="2" t="str"/>
      <x:c r="G14" s="18" t="str">
        <x:v>https://www.siemens.com/en-us/products/opcenter/advanced-planning-scheduling-aps/advanced-scheduling-software/</x:v>
      </x:c>
    </x:row>
    <x:row r="15" ht="38" customHeight="1">
      <x:c r="A15" s="2" t="str">
        <x:v>执行质量</x:v>
      </x:c>
      <x:c r="B15" s="19" t="str">
        <x:v>作业、成员、派工量、实际起止、暂停原因、加工、合格、待检、不良、报废、转移、冲正</x:v>
      </x:c>
      <x:c r="C15" s="19" t="str">
        <x:v>PlanetTogether / 本项目</x:v>
      </x:c>
      <x:c r="D15" s="19" t="str">
        <x:v>现场执行</x:v>
      </x:c>
      <x:c r="E15" s="19" t="str">
        <x:v>本包提供异常预期；没有伪造执行记录</x:v>
      </x:c>
      <x:c r="F15" s="2" t="str"/>
      <x:c r="G15" s="18" t="str">
        <x:v>https://www.planettogether.com/hubfs/Integrating%20with%20PlanetTogether%20APS.pdf</x:v>
      </x:c>
    </x:row>
    <x:row r="16" ht="38" customHeight="1">
      <x:c r="A16" s="2" t="str">
        <x:v>报表衔接</x:v>
      </x:c>
      <x:c r="B16" s="19" t="str">
        <x:v>日期、车间、资源、计划/实际工时、预计完工、延误原因、外部标识、请求标识、版本</x:v>
      </x:c>
      <x:c r="C16" s="19" t="str">
        <x:v>Siemens / 本项目</x:v>
      </x:c>
      <x:c r="D16" s="19" t="str">
        <x:v>生产报表</x:v>
      </x:c>
      <x:c r="E16" s="19" t="str">
        <x:v>字段对照；外部 ERP/MES 尚不在本次范围</x:v>
      </x:c>
      <x:c r="F16" s="2" t="str"/>
      <x:c r="G16" s="18" t="str">
        <x:v>https://www.siemens.com/en-us/products/opcenter/advanced-planning-scheduling-aps/advanced-scheduling-software/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53" hidden="0" customWidth="1"/>
    <x:col min="4" max="4" width="23" hidden="0" customWidth="1"/>
    <x:col min="5" max="5" width="48" hidden="0" customWidth="1"/>
    <x:col min="6" max="6" width="30" hidden="0" customWidth="1"/>
  </x:cols>
  <x:sheetData>
    <x:row r="2" ht="27" customHeight="1">
      <x:c r="A2" s="4" t="str">
        <x:v>本项目字段、规则和数据位置</x:v>
      </x:c>
      <x:c r="B2" s="3"/>
      <x:c r="C2" s="3"/>
      <x:c r="D2" s="3"/>
      <x:c r="E2" s="3"/>
      <x:c r="F2" s="3"/>
    </x:row>
    <x:row r="3">
      <x:c r="A3" s="2"/>
      <x:c r="B3" s="2"/>
      <x:c r="C3" s="2"/>
      <x:c r="D3" s="2"/>
      <x:c r="E3" s="2"/>
      <x:c r="F3" s="2"/>
    </x:row>
    <x:row r="4" ht="26" customHeight="1">
      <x:c r="A4" s="9" t="str">
        <x:v>模块</x:v>
      </x:c>
      <x:c r="B4" s="12" t="str">
        <x:v>业务字段</x:v>
      </x:c>
      <x:c r="C4" s="12" t="str">
        <x:v>接口或场景字段</x:v>
      </x:c>
      <x:c r="D4" s="12" t="str">
        <x:v>类型与单位</x:v>
      </x:c>
      <x:c r="E4" s="12" t="str">
        <x:v>规则</x:v>
      </x:c>
      <x:c r="F4" s="10" t="str">
        <x:v>现有对象</x:v>
      </x:c>
    </x:row>
    <x:row r="5" ht="30" customHeight="1">
      <x:c r="A5" s="2" t="str">
        <x:v>组织</x:v>
      </x:c>
      <x:c r="B5" s="2" t="str">
        <x:v>车间编码</x:v>
      </x:c>
      <x:c r="C5" s="2" t="str">
        <x:v>workshop.code</x:v>
      </x:c>
      <x:c r="D5" s="2" t="str">
        <x:v>文本</x:v>
      </x:c>
      <x:c r="E5" s="2" t="str">
        <x:v>必填且唯一</x:v>
      </x:c>
      <x:c r="F5" s="2" t="str">
        <x:v>aps_workshop</x:v>
      </x:c>
    </x:row>
    <x:row r="6" ht="30" customHeight="1">
      <x:c r="A6" s="2" t="str">
        <x:v>组织</x:v>
      </x:c>
      <x:c r="B6" s="2" t="str">
        <x:v>车间名称</x:v>
      </x:c>
      <x:c r="C6" s="2" t="str">
        <x:v>workshop.name</x:v>
      </x:c>
      <x:c r="D6" s="2" t="str">
        <x:v>文本</x:v>
      </x:c>
      <x:c r="E6" s="2" t="str">
        <x:v>必填</x:v>
      </x:c>
      <x:c r="F6" s="2" t="str">
        <x:v>aps_workshop</x:v>
      </x:c>
    </x:row>
    <x:row r="7" ht="30" customHeight="1">
      <x:c r="A7" s="2" t="str">
        <x:v>组织</x:v>
      </x:c>
      <x:c r="B7" s="2" t="str">
        <x:v>中心容量</x:v>
      </x:c>
      <x:c r="C7" s="2" t="str">
        <x:v>center.concurrentCapacity</x:v>
      </x:c>
      <x:c r="D7" s="2" t="str">
        <x:v>数值/COUNT</x:v>
      </x:c>
      <x:c r="E7" s="2" t="str">
        <x:v>大于0；中心不重复扣资源容量</x:v>
      </x:c>
      <x:c r="F7" s="2" t="str">
        <x:v>aps_work_center</x:v>
      </x:c>
    </x:row>
    <x:row r="8" ht="30" customHeight="1">
      <x:c r="A8" s="2" t="str">
        <x:v>资源</x:v>
      </x:c>
      <x:c r="B8" s="2" t="str">
        <x:v>资源编码</x:v>
      </x:c>
      <x:c r="C8" s="2" t="str">
        <x:v>resource.code</x:v>
      </x:c>
      <x:c r="D8" s="2" t="str">
        <x:v>文本</x:v>
      </x:c>
      <x:c r="E8" s="2" t="str">
        <x:v>唯一；测试前缀</x:v>
      </x:c>
      <x:c r="F8" s="2" t="str">
        <x:v>aps_resource</x:v>
      </x:c>
    </x:row>
    <x:row r="9" ht="30" customHeight="1">
      <x:c r="A9" s="2" t="str">
        <x:v>资源</x:v>
      </x:c>
      <x:c r="B9" s="2" t="str">
        <x:v>资源类型</x:v>
      </x:c>
      <x:c r="C9" s="2" t="str">
        <x:v>resource.type</x:v>
      </x:c>
      <x:c r="D9" s="2" t="str">
        <x:v>枚举</x:v>
      </x:c>
      <x:c r="E9" s="2" t="str">
        <x:v>PERSON/MACHINE/WORKSTATION/TOOL</x:v>
      </x:c>
      <x:c r="F9" s="2" t="str">
        <x:v>aps_resource</x:v>
      </x:c>
    </x:row>
    <x:row r="10" ht="30" customHeight="1">
      <x:c r="A10" s="2" t="str">
        <x:v>资源</x:v>
      </x:c>
      <x:c r="B10" s="2" t="str">
        <x:v>人员账号</x:v>
      </x:c>
      <x:c r="C10" s="2" t="str">
        <x:v>resource.ruoyiUserId</x:v>
      </x:c>
      <x:c r="D10" s="2" t="str">
        <x:v>文本</x:v>
      </x:c>
      <x:c r="E10" s="2" t="str">
        <x:v>可空；不得伪造真实账号</x:v>
      </x:c>
      <x:c r="F10" s="2" t="str">
        <x:v>aps_resource</x:v>
      </x:c>
    </x:row>
    <x:row r="11" ht="30" customHeight="1">
      <x:c r="A11" s="2" t="str">
        <x:v>资源</x:v>
      </x:c>
      <x:c r="B11" s="2" t="str">
        <x:v>资源容量</x:v>
      </x:c>
      <x:c r="C11" s="2" t="str">
        <x:v>resource.capacityValue</x:v>
      </x:c>
      <x:c r="D11" s="2" t="str">
        <x:v>数值/COUNT</x:v>
      </x:c>
      <x:c r="E11" s="2" t="str">
        <x:v>本包均为1</x:v>
      </x:c>
      <x:c r="F11" s="2" t="str">
        <x:v>aps_resource</x:v>
      </x:c>
    </x:row>
    <x:row r="12" ht="30" customHeight="1">
      <x:c r="A12" s="2" t="str">
        <x:v>资源</x:v>
      </x:c>
      <x:c r="B12" s="2" t="str">
        <x:v>状态</x:v>
      </x:c>
      <x:c r="C12" s="2" t="str">
        <x:v>resource.status</x:v>
      </x:c>
      <x:c r="D12" s="2" t="str">
        <x:v>枚举</x:v>
      </x:c>
      <x:c r="E12" s="2" t="str">
        <x:v>ACTIVE/INACTIVE/MAINTENANCE</x:v>
      </x:c>
      <x:c r="F12" s="2" t="str">
        <x:v>aps_resource</x:v>
      </x:c>
    </x:row>
    <x:row r="13" ht="30" customHeight="1">
      <x:c r="A13" s="2" t="str">
        <x:v>技能</x:v>
      </x:c>
      <x:c r="B13" s="2" t="str">
        <x:v>技能编码</x:v>
      </x:c>
      <x:c r="C13" s="2" t="str">
        <x:v>skill.code</x:v>
      </x:c>
      <x:c r="D13" s="2" t="str">
        <x:v>文本</x:v>
      </x:c>
      <x:c r="E13" s="2" t="str">
        <x:v>每资源唯一</x:v>
      </x:c>
      <x:c r="F13" s="2" t="str">
        <x:v>aps_resource_skill</x:v>
      </x:c>
    </x:row>
    <x:row r="14" ht="30" customHeight="1">
      <x:c r="A14" s="2" t="str">
        <x:v>技能</x:v>
      </x:c>
      <x:c r="B14" s="2" t="str">
        <x:v>等级</x:v>
      </x:c>
      <x:c r="C14" s="2" t="str">
        <x:v>skill.level</x:v>
      </x:c>
      <x:c r="D14" s="2" t="str">
        <x:v>整数</x:v>
      </x:c>
      <x:c r="E14" s="2" t="str">
        <x:v>1–10</x:v>
      </x:c>
      <x:c r="F14" s="2" t="str">
        <x:v>aps_resource_skill</x:v>
      </x:c>
    </x:row>
    <x:row r="15" ht="30" customHeight="1">
      <x:c r="A15" s="2" t="str">
        <x:v>技能</x:v>
      </x:c>
      <x:c r="B15" s="2" t="str">
        <x:v>有效期</x:v>
      </x:c>
      <x:c r="C15" s="2" t="str">
        <x:v>skill.validFrom / validTo</x:v>
      </x:c>
      <x:c r="D15" s="2" t="str">
        <x:v>时间</x:v>
      </x:c>
      <x:c r="E15" s="2" t="str">
        <x:v>含时区；到期不能忽略</x:v>
      </x:c>
      <x:c r="F15" s="2" t="str">
        <x:v>aps_resource_skill</x:v>
      </x:c>
    </x:row>
    <x:row r="16" ht="30" customHeight="1">
      <x:c r="A16" s="2" t="str">
        <x:v>日历</x:v>
      </x:c>
      <x:c r="B16" s="2" t="str">
        <x:v>窗口类型</x:v>
      </x:c>
      <x:c r="C16" s="2" t="str">
        <x:v>availability.type</x:v>
      </x:c>
      <x:c r="D16" s="2" t="str">
        <x:v>枚举</x:v>
      </x:c>
      <x:c r="E16" s="2" t="str">
        <x:v>AVAILABLE/UNAVAILABLE/LEAVE/MAINTENANCE等</x:v>
      </x:c>
      <x:c r="F16" s="2" t="str">
        <x:v>aps_resource_availability</x:v>
      </x:c>
    </x:row>
    <x:row r="17" ht="30" customHeight="1">
      <x:c r="A17" s="2" t="str">
        <x:v>日历</x:v>
      </x:c>
      <x:c r="B17" s="2" t="str">
        <x:v>窗口起止</x:v>
      </x:c>
      <x:c r="C17" s="2" t="str">
        <x:v>availability.startAt / endAt</x:v>
      </x:c>
      <x:c r="D17" s="2" t="str">
        <x:v>时间</x:v>
      </x:c>
      <x:c r="E17" s="2" t="str">
        <x:v>end&gt;start；左闭右开</x:v>
      </x:c>
      <x:c r="F17" s="2" t="str">
        <x:v>aps_resource_availability</x:v>
      </x:c>
    </x:row>
    <x:row r="18" ht="30" customHeight="1">
      <x:c r="A18" s="2" t="str">
        <x:v>日历</x:v>
      </x:c>
      <x:c r="B18" s="2" t="str">
        <x:v>可用比例</x:v>
      </x:c>
      <x:c r="C18" s="2" t="str">
        <x:v>availability.capacityRatio</x:v>
      </x:c>
      <x:c r="D18" s="2" t="str">
        <x:v>数值</x:v>
      </x:c>
      <x:c r="E18" s="2" t="str">
        <x:v>0&lt;比例≤1</x:v>
      </x:c>
      <x:c r="F18" s="2" t="str">
        <x:v>aps_resource_availability</x:v>
      </x:c>
    </x:row>
    <x:row r="19" ht="30" customHeight="1">
      <x:c r="A19" s="2" t="str">
        <x:v>产品</x:v>
      </x:c>
      <x:c r="B19" s="2" t="str">
        <x:v>产品编码</x:v>
      </x:c>
      <x:c r="C19" s="2" t="str">
        <x:v>item.code</x:v>
      </x:c>
      <x:c r="D19" s="2" t="str">
        <x:v>文本</x:v>
      </x:c>
      <x:c r="E19" s="2" t="str">
        <x:v>唯一</x:v>
      </x:c>
      <x:c r="F19" s="2" t="str">
        <x:v>aps_item</x:v>
      </x:c>
    </x:row>
    <x:row r="20" ht="30" customHeight="1">
      <x:c r="A20" s="2" t="str">
        <x:v>产品</x:v>
      </x:c>
      <x:c r="B20" s="2" t="str">
        <x:v>类别</x:v>
      </x:c>
      <x:c r="C20" s="2" t="str">
        <x:v>item.type</x:v>
      </x:c>
      <x:c r="D20" s="2" t="str">
        <x:v>枚举</x:v>
      </x:c>
      <x:c r="E20" s="2" t="str">
        <x:v>PRODUCT/SEMI_FINISHED/MATERIAL</x:v>
      </x:c>
      <x:c r="F20" s="2" t="str">
        <x:v>aps_item</x:v>
      </x:c>
    </x:row>
    <x:row r="21" ht="30" customHeight="1">
      <x:c r="A21" s="2" t="str">
        <x:v>产品</x:v>
      </x:c>
      <x:c r="B21" s="2" t="str">
        <x:v>单位</x:v>
      </x:c>
      <x:c r="C21" s="2" t="str">
        <x:v>item.baseUomCode</x:v>
      </x:c>
      <x:c r="D21" s="2" t="str">
        <x:v>文本</x:v>
      </x:c>
      <x:c r="E21" s="2" t="str">
        <x:v>本包PCS；其他单位须真实定义</x:v>
      </x:c>
      <x:c r="F21" s="2" t="str">
        <x:v>aps_item</x:v>
      </x:c>
    </x:row>
    <x:row r="22" ht="30" customHeight="1">
      <x:c r="A22" s="2" t="str">
        <x:v>产品</x:v>
      </x:c>
      <x:c r="B22" s="2" t="str">
        <x:v>规格</x:v>
      </x:c>
      <x:c r="C22" s="2" t="str">
        <x:v>item.specification</x:v>
      </x:c>
      <x:c r="D22" s="2" t="str">
        <x:v>文本</x:v>
      </x:c>
      <x:c r="E22" s="2" t="str">
        <x:v>公开参考和测试假设分开</x:v>
      </x:c>
      <x:c r="F22" s="2" t="str">
        <x:v>aps_item</x:v>
      </x:c>
    </x:row>
    <x:row r="23" ht="30" customHeight="1">
      <x:c r="A23" s="2" t="str">
        <x:v>工序</x:v>
      </x:c>
      <x:c r="B23" s="2" t="str">
        <x:v>编码</x:v>
      </x:c>
      <x:c r="C23" s="2" t="str">
        <x:v>operation.code</x:v>
      </x:c>
      <x:c r="D23" s="2" t="str">
        <x:v>文本</x:v>
      </x:c>
      <x:c r="E23" s="2" t="str">
        <x:v>唯一</x:v>
      </x:c>
      <x:c r="F23" s="2" t="str">
        <x:v>aps_operation_spec</x:v>
      </x:c>
    </x:row>
    <x:row r="24" ht="30" customHeight="1">
      <x:c r="A24" s="2" t="str">
        <x:v>工序</x:v>
      </x:c>
      <x:c r="B24" s="2" t="str">
        <x:v>模式</x:v>
      </x:c>
      <x:c r="C24" s="2" t="str">
        <x:v>operation.mode</x:v>
      </x:c>
      <x:c r="D24" s="2" t="str">
        <x:v>枚举</x:v>
      </x:c>
      <x:c r="E24" s="2" t="str">
        <x:v>MANUAL/MAN_MACHINE等</x:v>
      </x:c>
      <x:c r="F24" s="2" t="str">
        <x:v>aps_operation_spec</x:v>
      </x:c>
    </x:row>
    <x:row r="25" ht="30" customHeight="1">
      <x:c r="A25" s="2" t="str">
        <x:v>工序</x:v>
      </x:c>
      <x:c r="B25" s="2" t="str">
        <x:v>质量门</x:v>
      </x:c>
      <x:c r="C25" s="2" t="str">
        <x:v>operation.qualityGateRequired</x:v>
      </x:c>
      <x:c r="D25" s="2" t="str">
        <x:v>布尔</x:v>
      </x:c>
      <x:c r="E25" s="2" t="str">
        <x:v>开启后须质量释放</x:v>
      </x:c>
      <x:c r="F25" s="2" t="str">
        <x:v>aps_operation_spec</x:v>
      </x:c>
    </x:row>
    <x:row r="26" ht="30" customHeight="1">
      <x:c r="A26" s="2" t="str">
        <x:v>工序</x:v>
      </x:c>
      <x:c r="B26" s="2" t="str">
        <x:v>可中断</x:v>
      </x:c>
      <x:c r="C26" s="2" t="str">
        <x:v>operation.interruptible</x:v>
      </x:c>
      <x:c r="D26" s="2" t="str">
        <x:v>布尔</x:v>
      </x:c>
      <x:c r="E26" s="2" t="str">
        <x:v>本包false</x:v>
      </x:c>
      <x:c r="F26" s="2" t="str">
        <x:v>aps_operation_spec</x:v>
      </x:c>
    </x:row>
    <x:row r="27" ht="30" customHeight="1">
      <x:c r="A27" s="2" t="str">
        <x:v>工序</x:v>
      </x:c>
      <x:c r="B27" s="2" t="str">
        <x:v>固定工时</x:v>
      </x:c>
      <x:c r="C27" s="2" t="str">
        <x:v>phase.fixedSeconds</x:v>
      </x:c>
      <x:c r="D27" s="2" t="str">
        <x:v>整数/秒</x:v>
      </x:c>
      <x:c r="E27" s="2" t="str">
        <x:v>FIXED大于0；PER_UNIT为0</x:v>
      </x:c>
      <x:c r="F27" s="2" t="str">
        <x:v>aps_operation_phase</x:v>
      </x:c>
    </x:row>
    <x:row r="28" ht="30" customHeight="1">
      <x:c r="A28" s="2" t="str">
        <x:v>工序</x:v>
      </x:c>
      <x:c r="B28" s="2" t="str">
        <x:v>单件工时</x:v>
      </x:c>
      <x:c r="C28" s="2" t="str">
        <x:v>phase.secondsPerUnit</x:v>
      </x:c>
      <x:c r="D28" s="2" t="str">
        <x:v>数值/秒每件</x:v>
      </x:c>
      <x:c r="E28" s="2" t="str">
        <x:v>PER_UNIT大于0</x:v>
      </x:c>
      <x:c r="F28" s="2" t="str">
        <x:v>aps_operation_phase</x:v>
      </x:c>
    </x:row>
    <x:row r="29" ht="30" customHeight="1">
      <x:c r="A29" s="2" t="str">
        <x:v>工序</x:v>
      </x:c>
      <x:c r="B29" s="2" t="str">
        <x:v>阶段类型</x:v>
      </x:c>
      <x:c r="C29" s="2" t="str">
        <x:v>phase.phaseType</x:v>
      </x:c>
      <x:c r="D29" s="2" t="str">
        <x:v>枚举</x:v>
      </x:c>
      <x:c r="E29" s="2" t="str">
        <x:v>SETUP/RUN/UNLOAD/WAIT/TRANSPORT</x:v>
      </x:c>
      <x:c r="F29" s="2" t="str">
        <x:v>aps_operation_phase</x:v>
      </x:c>
    </x:row>
    <x:row r="30" ht="30" customHeight="1">
      <x:c r="A30" s="2" t="str">
        <x:v>工序</x:v>
      </x:c>
      <x:c r="B30" s="2" t="str">
        <x:v>占用规则</x:v>
      </x:c>
      <x:c r="C30" s="2" t="str">
        <x:v>phase.resourceHoldPolicy</x:v>
      </x:c>
      <x:c r="D30" s="2" t="str">
        <x:v>枚举</x:v>
      </x:c>
      <x:c r="E30" s="2" t="str">
        <x:v>本包PHASE_ONLY</x:v>
      </x:c>
      <x:c r="F30" s="2" t="str">
        <x:v>aps_operation_phase</x:v>
      </x:c>
    </x:row>
    <x:row r="31" ht="30" customHeight="1">
      <x:c r="A31" s="2" t="str">
        <x:v>要求</x:v>
      </x:c>
      <x:c r="B31" s="2" t="str">
        <x:v>资源类型</x:v>
      </x:c>
      <x:c r="C31" s="2" t="str">
        <x:v>requirement.resourceType</x:v>
      </x:c>
      <x:c r="D31" s="2" t="str">
        <x:v>枚举</x:v>
      </x:c>
      <x:c r="E31" s="2" t="str">
        <x:v>人机同时占用</x:v>
      </x:c>
      <x:c r="F31" s="2" t="str">
        <x:v>aps_resource_requirement</x:v>
      </x:c>
    </x:row>
    <x:row r="32" ht="30" customHeight="1">
      <x:c r="A32" s="2" t="str">
        <x:v>要求</x:v>
      </x:c>
      <x:c r="B32" s="2" t="str">
        <x:v>席位</x:v>
      </x:c>
      <x:c r="C32" s="2" t="str">
        <x:v>requirement.seatCount</x:v>
      </x:c>
      <x:c r="D32" s="2" t="str">
        <x:v>整数</x:v>
      </x:c>
      <x:c r="E32" s="2" t="str">
        <x:v>本包每类1席位</x:v>
      </x:c>
      <x:c r="F32" s="2" t="str">
        <x:v>aps_resource_requirement</x:v>
      </x:c>
    </x:row>
    <x:row r="33" ht="30" customHeight="1">
      <x:c r="A33" s="2" t="str">
        <x:v>要求</x:v>
      </x:c>
      <x:c r="B33" s="2" t="str">
        <x:v>技能与等级</x:v>
      </x:c>
      <x:c r="C33" s="2" t="str">
        <x:v>requirement.requiredSkillCode / minimumSkillLevel</x:v>
      </x:c>
      <x:c r="D33" s="2" t="str">
        <x:v>文本+整数</x:v>
      </x:c>
      <x:c r="E33" s="2" t="str">
        <x:v>人员满足匹配和等级</x:v>
      </x:c>
      <x:c r="F33" s="2" t="str">
        <x:v>aps_resource_requirement</x:v>
      </x:c>
    </x:row>
    <x:row r="34" ht="30" customHeight="1">
      <x:c r="A34" s="2" t="str">
        <x:v>要求</x:v>
      </x:c>
      <x:c r="B34" s="2" t="str">
        <x:v>设备候选中心</x:v>
      </x:c>
      <x:c r="C34" s="2" t="str">
        <x:v>requirement.workCenterId</x:v>
      </x:c>
      <x:c r="D34" s="2" t="str">
        <x:v>标识</x:v>
      </x:c>
      <x:c r="E34" s="2" t="str">
        <x:v>从业务编码解析现有ID</x:v>
      </x:c>
      <x:c r="F34" s="2" t="str">
        <x:v>aps_resource_requirement</x:v>
      </x:c>
    </x:row>
    <x:row r="35" ht="30" customHeight="1">
      <x:c r="A35" s="2" t="str">
        <x:v>路线</x:v>
      </x:c>
      <x:c r="B35" s="2" t="str">
        <x:v>版本</x:v>
      </x:c>
      <x:c r="C35" s="2" t="str">
        <x:v>route.versionNo</x:v>
      </x:c>
      <x:c r="D35" s="2" t="str">
        <x:v>文本</x:v>
      </x:c>
      <x:c r="E35" s="2" t="str">
        <x:v>本包TEST-V1；发布后冻结</x:v>
      </x:c>
      <x:c r="F35" s="2" t="str">
        <x:v>aps_route_version</x:v>
      </x:c>
    </x:row>
    <x:row r="36" ht="30" customHeight="1">
      <x:c r="A36" s="2" t="str">
        <x:v>路线</x:v>
      </x:c>
      <x:c r="B36" s="2" t="str">
        <x:v>产品关联</x:v>
      </x:c>
      <x:c r="C36" s="2" t="str">
        <x:v>route.itemId</x:v>
      </x:c>
      <x:c r="D36" s="2" t="str">
        <x:v>标识</x:v>
      </x:c>
      <x:c r="E36" s="2" t="str">
        <x:v>JSON用productCode待解析</x:v>
      </x:c>
      <x:c r="F36" s="2" t="str">
        <x:v>aps_route_version</x:v>
      </x:c>
    </x:row>
    <x:row r="37" ht="30" customHeight="1">
      <x:c r="A37" s="2" t="str">
        <x:v>路线</x:v>
      </x:c>
      <x:c r="B37" s="2" t="str">
        <x:v>节点工序</x:v>
      </x:c>
      <x:c r="C37" s="2" t="str">
        <x:v>node.operationSpecId</x:v>
      </x:c>
      <x:c r="D37" s="2" t="str">
        <x:v>标识</x:v>
      </x:c>
      <x:c r="E37" s="2" t="str">
        <x:v>JSON用operationCode待解析</x:v>
      </x:c>
      <x:c r="F37" s="2" t="str">
        <x:v>aps_route_node</x:v>
      </x:c>
    </x:row>
    <x:row r="38" ht="30" customHeight="1">
      <x:c r="A38" s="2" t="str">
        <x:v>路线</x:v>
      </x:c>
      <x:c r="B38" s="2" t="str">
        <x:v>终点</x:v>
      </x:c>
      <x:c r="C38" s="2" t="str">
        <x:v>node.terminal</x:v>
      </x:c>
      <x:c r="D38" s="2" t="str">
        <x:v>布尔</x:v>
      </x:c>
      <x:c r="E38" s="2" t="str">
        <x:v>本包只有PACK为终点</x:v>
      </x:c>
      <x:c r="F38" s="2" t="str">
        <x:v>aps_route_node</x:v>
      </x:c>
    </x:row>
    <x:row r="39" ht="30" customHeight="1">
      <x:c r="A39" s="2" t="str">
        <x:v>路线</x:v>
      </x:c>
      <x:c r="B39" s="2" t="str">
        <x:v>依赖类型</x:v>
      </x:c>
      <x:c r="C39" s="2" t="str">
        <x:v>edge.dependencyType</x:v>
      </x:c>
      <x:c r="D39" s="2" t="str">
        <x:v>枚举</x:v>
      </x:c>
      <x:c r="E39" s="2" t="str">
        <x:v>本包FINISH；另有QUANTITY/SAME_START</x:v>
      </x:c>
      <x:c r="F39" s="2" t="str">
        <x:v>aps_route_edge</x:v>
      </x:c>
    </x:row>
    <x:row r="40" ht="30" customHeight="1">
      <x:c r="A40" s="2" t="str">
        <x:v>路线</x:v>
      </x:c>
      <x:c r="B40" s="2" t="str">
        <x:v>等待</x:v>
      </x:c>
      <x:c r="C40" s="2" t="str">
        <x:v>edge.lagSeconds</x:v>
      </x:c>
      <x:c r="D40" s="2" t="str">
        <x:v>整数/秒</x:v>
      </x:c>
      <x:c r="E40" s="2" t="str">
        <x:v>本包0</x:v>
      </x:c>
      <x:c r="F40" s="2" t="str">
        <x:v>aps_route_edge</x:v>
      </x:c>
    </x:row>
    <x:row r="41" ht="30" customHeight="1">
      <x:c r="A41" s="2" t="str">
        <x:v>订单</x:v>
      </x:c>
      <x:c r="B41" s="2" t="str">
        <x:v>订单号</x:v>
      </x:c>
      <x:c r="C41" s="2" t="str">
        <x:v>order.orderNo</x:v>
      </x:c>
      <x:c r="D41" s="2" t="str">
        <x:v>文本</x:v>
      </x:c>
      <x:c r="E41" s="2" t="str">
        <x:v>唯一；TEST-PCBA前缀</x:v>
      </x:c>
      <x:c r="F41" s="2" t="str">
        <x:v>aps_order</x:v>
      </x:c>
    </x:row>
    <x:row r="42" ht="30" customHeight="1">
      <x:c r="A42" s="2" t="str">
        <x:v>订单</x:v>
      </x:c>
      <x:c r="B42" s="2" t="str">
        <x:v>优先级</x:v>
      </x:c>
      <x:c r="C42" s="2" t="str">
        <x:v>order.priority</x:v>
      </x:c>
      <x:c r="D42" s="2" t="str">
        <x:v>整数</x:v>
      </x:c>
      <x:c r="E42" s="2" t="str">
        <x:v>仅测试输入；排序语义以接口为准</x:v>
      </x:c>
      <x:c r="F42" s="2" t="str">
        <x:v>aps_order</x:v>
      </x:c>
    </x:row>
    <x:row r="43" ht="30" customHeight="1">
      <x:c r="A43" s="2" t="str">
        <x:v>订单</x:v>
      </x:c>
      <x:c r="B43" s="2" t="str">
        <x:v>交期</x:v>
      </x:c>
      <x:c r="C43" s="2" t="str">
        <x:v>order.promisedAt</x:v>
      </x:c>
      <x:c r="D43" s="2" t="str">
        <x:v>时间</x:v>
      </x:c>
      <x:c r="E43" s="2" t="str">
        <x:v>含+08:00</x:v>
      </x:c>
      <x:c r="F43" s="2" t="str">
        <x:v>aps_order</x:v>
      </x:c>
    </x:row>
    <x:row r="44" ht="30" customHeight="1">
      <x:c r="A44" s="2" t="str">
        <x:v>订单</x:v>
      </x:c>
      <x:c r="B44" s="2" t="str">
        <x:v>最早开工</x:v>
      </x:c>
      <x:c r="C44" s="2" t="str">
        <x:v>order.earliestStartAt</x:v>
      </x:c>
      <x:c r="D44" s="2" t="str">
        <x:v>时间</x:v>
      </x:c>
      <x:c r="E44" s="2" t="str">
        <x:v>含+08:00</x:v>
      </x:c>
      <x:c r="F44" s="2" t="str">
        <x:v>aps_order</x:v>
      </x:c>
    </x:row>
    <x:row r="45" ht="30" customHeight="1">
      <x:c r="A45" s="2" t="str">
        <x:v>订单</x:v>
      </x:c>
      <x:c r="B45" s="2" t="str">
        <x:v>需求量</x:v>
      </x:c>
      <x:c r="C45" s="2" t="str">
        <x:v>line.demandQty</x:v>
      </x:c>
      <x:c r="D45" s="2" t="str">
        <x:v>数值/PCS</x:v>
      </x:c>
      <x:c r="E45" s="2" t="str">
        <x:v>大于0；6单合计380</x:v>
      </x:c>
      <x:c r="F45" s="2" t="str">
        <x:v>aps_order_line</x:v>
      </x:c>
    </x:row>
    <x:row r="46" ht="30" customHeight="1">
      <x:c r="A46" s="2" t="str">
        <x:v>订单</x:v>
      </x:c>
      <x:c r="B46" s="2" t="str">
        <x:v>路线版本</x:v>
      </x:c>
      <x:c r="C46" s="2" t="str">
        <x:v>line.routeVersionId</x:v>
      </x:c>
      <x:c r="D46" s="2" t="str">
        <x:v>标识</x:v>
      </x:c>
      <x:c r="E46" s="2" t="str">
        <x:v>从routeCode+version解析ID</x:v>
      </x:c>
      <x:c r="F46" s="2" t="str">
        <x:v>aps_order_line</x:v>
      </x:c>
    </x:row>
    <x:row r="47" ht="30" customHeight="1">
      <x:c r="A47" s="2" t="str">
        <x:v>材料</x:v>
      </x:c>
      <x:c r="B47" s="2" t="str">
        <x:v>目标任务</x:v>
      </x:c>
      <x:c r="C47" s="2" t="str">
        <x:v>demand.targetTaskId</x:v>
      </x:c>
      <x:c r="D47" s="2" t="str">
        <x:v>标识</x:v>
      </x:c>
      <x:c r="E47" s="2" t="str">
        <x:v>展开后解析；数据包为订单+节点</x:v>
      </x:c>
      <x:c r="F47" s="2" t="str">
        <x:v>aps_material_demand</x:v>
      </x:c>
    </x:row>
    <x:row r="48" ht="30" customHeight="1">
      <x:c r="A48" s="2" t="str">
        <x:v>材料</x:v>
      </x:c>
      <x:c r="B48" s="2" t="str">
        <x:v>需求量</x:v>
      </x:c>
      <x:c r="C48" s="2" t="str">
        <x:v>demand.requiredQty</x:v>
      </x:c>
      <x:c r="D48" s="2" t="str">
        <x:v>数值/PCS</x:v>
      </x:c>
      <x:c r="E48" s="2" t="str">
        <x:v>大于0</x:v>
      </x:c>
      <x:c r="F48" s="2" t="str">
        <x:v>aps_material_demand</x:v>
      </x:c>
    </x:row>
    <x:row r="49" ht="30" customHeight="1">
      <x:c r="A49" s="2" t="str">
        <x:v>材料</x:v>
      </x:c>
      <x:c r="B49" s="2" t="str">
        <x:v>准备状态</x:v>
      </x:c>
      <x:c r="C49" s="2" t="str">
        <x:v>demand.materialStatus</x:v>
      </x:c>
      <x:c r="D49" s="2" t="str">
        <x:v>枚举</x:v>
      </x:c>
      <x:c r="E49" s="2" t="str">
        <x:v>受实际来源、数量与就绪校验控制</x:v>
      </x:c>
      <x:c r="F49" s="2" t="str">
        <x:v>aps_material_demand</x:v>
      </x:c>
    </x:row>
    <x:row r="50" ht="30" customHeight="1">
      <x:c r="A50" s="2" t="str">
        <x:v>材料</x:v>
      </x:c>
      <x:c r="B50" s="2" t="str">
        <x:v>准备数量</x:v>
      </x:c>
      <x:c r="C50" s="2" t="str">
        <x:v>preparedQty</x:v>
      </x:c>
      <x:c r="D50" s="2" t="str">
        <x:v>数值/PCS</x:v>
      </x:c>
      <x:c r="E50" s="2" t="str">
        <x:v>本地场景输入；非新增库存字段</x:v>
      </x:c>
      <x:c r="F50" s="2" t="str">
        <x:v>场景适配输入</x:v>
      </x:c>
    </x:row>
    <x:row r="51" ht="30" customHeight="1">
      <x:c r="A51" s="2" t="str">
        <x:v>材料</x:v>
      </x:c>
      <x:c r="B51" s="2" t="str">
        <x:v>供料日期</x:v>
      </x:c>
      <x:c r="C51" s="2" t="str">
        <x:v>availableAt</x:v>
      </x:c>
      <x:c r="D51" s="2" t="str">
        <x:v>时间</x:v>
      </x:c>
      <x:c r="E51" s="2" t="str">
        <x:v>本地场景输入；供料路径待核对</x:v>
      </x:c>
      <x:c r="F51" s="2" t="str">
        <x:v>场景适配输入</x:v>
      </x:c>
    </x:row>
    <x:row r="52" ht="30" customHeight="1">
      <x:c r="A52" s="2" t="str">
        <x:v>计划</x:v>
      </x:c>
      <x:c r="B52" s="2" t="str">
        <x:v>计划版本</x:v>
      </x:c>
      <x:c r="C52" s="2" t="str">
        <x:v>plan.id / status</x:v>
      </x:c>
      <x:c r="D52" s="2" t="str">
        <x:v>标识+枚举</x:v>
      </x:c>
      <x:c r="E52" s="2" t="str">
        <x:v>系统生成；不预填正式结果</x:v>
      </x:c>
      <x:c r="F52" s="2" t="str">
        <x:v>aps_plan_version</x:v>
      </x:c>
    </x:row>
    <x:row r="53" ht="30" customHeight="1">
      <x:c r="A53" s="2" t="str">
        <x:v>计划</x:v>
      </x:c>
      <x:c r="B53" s="2" t="str">
        <x:v>计划起止</x:v>
      </x:c>
      <x:c r="C53" s="2" t="str">
        <x:v>segment.startAt / endAt</x:v>
      </x:c>
      <x:c r="D53" s="2" t="str">
        <x:v>时间</x:v>
      </x:c>
      <x:c r="E53" s="2" t="str">
        <x:v>资源无冲突且在日历内</x:v>
      </x:c>
      <x:c r="F53" s="2" t="str">
        <x:v>aps_plan_segment</x:v>
      </x:c>
    </x:row>
    <x:row r="54" ht="30" customHeight="1">
      <x:c r="A54" s="2" t="str">
        <x:v>计划</x:v>
      </x:c>
      <x:c r="B54" s="2" t="str">
        <x:v>资源分配</x:v>
      </x:c>
      <x:c r="C54" s="2" t="str">
        <x:v>allocation.resourceId</x:v>
      </x:c>
      <x:c r="D54" s="2" t="str">
        <x:v>标识</x:v>
      </x:c>
      <x:c r="E54" s="2" t="str">
        <x:v>同一具名资源全局去重</x:v>
      </x:c>
      <x:c r="F54" s="2" t="str">
        <x:v>aps_plan_allocation</x:v>
      </x:c>
    </x:row>
    <x:row r="55" ht="30" customHeight="1">
      <x:c r="A55" s="2" t="str">
        <x:v>计划</x:v>
      </x:c>
      <x:c r="B55" s="2" t="str">
        <x:v>锁定</x:v>
      </x:c>
      <x:c r="C55" s="2" t="str">
        <x:v>lock.lockType</x:v>
      </x:c>
      <x:c r="D55" s="2" t="str">
        <x:v>枚举</x:v>
      </x:c>
      <x:c r="E55" s="2" t="str">
        <x:v>依现行契约；本包不预锁定</x:v>
      </x:c>
      <x:c r="F55" s="2" t="str">
        <x:v>aps_plan_lock</x:v>
      </x:c>
    </x:row>
    <x:row r="56" ht="30" customHeight="1">
      <x:c r="A56" s="2" t="str">
        <x:v>执行</x:v>
      </x:c>
      <x:c r="B56" s="2" t="str">
        <x:v>实际起止</x:v>
      </x:c>
      <x:c r="C56" s="2" t="str">
        <x:v>run.actualStartAt / actualEndAt</x:v>
      </x:c>
      <x:c r="D56" s="2" t="str">
        <x:v>时间</x:v>
      </x:c>
      <x:c r="E56" s="2" t="str">
        <x:v>由实际开停工产生</x:v>
      </x:c>
      <x:c r="F56" s="2" t="str">
        <x:v>aps_execution_run</x:v>
      </x:c>
    </x:row>
    <x:row r="57" ht="30" customHeight="1">
      <x:c r="A57" s="2" t="str">
        <x:v>执行</x:v>
      </x:c>
      <x:c r="B57" s="2" t="str">
        <x:v>加工量</x:v>
      </x:c>
      <x:c r="C57" s="2" t="str">
        <x:v>report.processedQty</x:v>
      </x:c>
      <x:c r="D57" s="2" t="str">
        <x:v>数值/PCS</x:v>
      </x:c>
      <x:c r="E57" s="2" t="str">
        <x:v>不等于最终成品合格量</x:v>
      </x:c>
      <x:c r="F57" s="2" t="str">
        <x:v>aps_production_report</x:v>
      </x:c>
    </x:row>
    <x:row r="58" ht="30" customHeight="1">
      <x:c r="A58" s="2" t="str">
        <x:v>执行</x:v>
      </x:c>
      <x:c r="B58" s="2" t="str">
        <x:v>合格量</x:v>
      </x:c>
      <x:c r="C58" s="2" t="str">
        <x:v>report.goodQty</x:v>
      </x:c>
      <x:c r="D58" s="2" t="str">
        <x:v>数值/PCS</x:v>
      </x:c>
      <x:c r="E58" s="2" t="str">
        <x:v>质量门与终端数量核对</x:v>
      </x:c>
      <x:c r="F58" s="2" t="str">
        <x:v>aps_production_report</x:v>
      </x:c>
    </x:row>
    <x:row r="59" ht="30" customHeight="1">
      <x:c r="A59" s="2" t="str">
        <x:v>执行</x:v>
      </x:c>
      <x:c r="B59" s="2" t="str">
        <x:v>待检/不良/报废</x:v>
      </x:c>
      <x:c r="C59" s="2" t="str">
        <x:v>report.pendingQty / rejectedQty / scrapQty</x:v>
      </x:c>
      <x:c r="D59" s="2" t="str">
        <x:v>数值/PCS</x:v>
      </x:c>
      <x:c r="E59" s="2" t="str">
        <x:v>分类数量守恒；禁止重复计数</x:v>
      </x:c>
      <x:c r="F59" s="2" t="str">
        <x:v>aps_production_report</x:v>
      </x:c>
    </x:row>
    <x:row r="60" ht="30" customHeight="1">
      <x:c r="A60" s="2" t="str">
        <x:v>执行</x:v>
      </x:c>
      <x:c r="B60" s="2" t="str">
        <x:v>冲正引用</x:v>
      </x:c>
      <x:c r="C60" s="2" t="str">
        <x:v>report.correctionOfId</x:v>
      </x:c>
      <x:c r="D60" s="2" t="str">
        <x:v>标识</x:v>
      </x:c>
      <x:c r="E60" s="2" t="str">
        <x:v>更正保留原记录</x:v>
      </x:c>
      <x:c r="F60" s="2" t="str">
        <x:v>aps_production_report</x:v>
      </x:c>
    </x:row>
    <x:row r="61" ht="30" customHeight="1">
      <x:c r="A61" s="2" t="str">
        <x:v>报表</x:v>
      </x:c>
      <x:c r="B61" s="2" t="str">
        <x:v>预计完成</x:v>
      </x:c>
      <x:c r="C61" s="2" t="str">
        <x:v>ETA</x:v>
      </x:c>
      <x:c r="D61" s="2" t="str">
        <x:v>时间/未知</x:v>
      </x:c>
      <x:c r="E61" s="2" t="str">
        <x:v>缺前提须显示未知或原因</x:v>
      </x:c>
      <x:c r="F61" s="2" t="str">
        <x:v>现有报表查询</x:v>
      </x:c>
    </x:row>
    <x:row r="62" ht="30" customHeight="1">
      <x:c r="A62" s="2" t="str">
        <x:v>衔接</x:v>
      </x:c>
      <x:c r="B62" s="2" t="str">
        <x:v>请求标识</x:v>
      </x:c>
      <x:c r="C62" s="2" t="str">
        <x:v>requestId</x:v>
      </x:c>
      <x:c r="D62" s="2" t="str">
        <x:v>文本</x:v>
      </x:c>
      <x:c r="E62" s="2" t="str">
        <x:v>幂等与审计；本包不制造真实操作</x:v>
      </x:c>
      <x:c r="F62" s="2" t="str">
        <x:v>现有接口字段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20" hidden="0" customWidth="1"/>
    <x:col min="4" max="4" width="53" hidden="0" customWidth="1"/>
    <x:col min="5" max="5" width="9" hidden="0" customWidth="1"/>
    <x:col min="6" max="6" width="48" hidden="0" customWidth="1"/>
    <x:col min="7" max="7" width="3" hidden="0" customWidth="1"/>
    <x:col min="8" max="8" width="75" hidden="0" customWidth="1"/>
  </x:cols>
  <x:sheetData>
    <x:row r="2" ht="27" customHeight="1">
      <x:c r="A2" s="4" t="str">
        <x:v>产品参考及后段投入物料</x:v>
      </x:c>
      <x:c r="B2" s="3"/>
      <x:c r="C2" s="3"/>
      <x:c r="D2" s="3"/>
      <x:c r="E2" s="3"/>
      <x:c r="F2" s="3"/>
      <x:c r="G2" s="3"/>
      <x:c r="H2" s="3"/>
    </x:row>
    <x:row r="3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9" t="str">
        <x:v>编码</x:v>
      </x:c>
      <x:c r="B4" s="12" t="str">
        <x:v>名称</x:v>
      </x:c>
      <x:c r="C4" s="12" t="str">
        <x:v>类别</x:v>
      </x:c>
      <x:c r="D4" s="12" t="str">
        <x:v>规格及边界</x:v>
      </x:c>
      <x:c r="E4" s="12" t="str">
        <x:v>单位</x:v>
      </x:c>
      <x:c r="F4" s="12" t="str">
        <x:v>数据性质</x:v>
      </x:c>
      <x:c r="G4" s="12" t="str"/>
      <x:c r="H4" s="17" t="str">
        <x:v>来源网址</x:v>
      </x:c>
    </x:row>
    <x:row r="5" ht="28" customHeight="1">
      <x:c r="A5" s="2" t="str">
        <x:v>TEST-PCBA-R3</x:v>
      </x:c>
      <x:c r="B5" s="2" t="str">
        <x:v>参考 UNO Rev3 SMD 的测试控制板</x:v>
      </x:c>
      <x:c r="C5" s="2" t="str">
        <x:v>PRODUCT</x:v>
      </x:c>
      <x:c r="D5" s="2" t="str">
        <x:v>8 位控制板参考；测试编码及制造路线自定</x:v>
      </x:c>
      <x:c r="E5" s="2" t="str">
        <x:v>PCS</x:v>
      </x:c>
      <x:c r="F5" s="2" t="str">
        <x:v>公开产品参考；生产参数为测试设定</x:v>
      </x:c>
      <x:c r="G5" s="2" t="str"/>
      <x:c r="H5" s="18" t="str">
        <x:v>https://docs.arduino.cc/hardware/uno-rev3-smd</x:v>
      </x:c>
    </x:row>
    <x:row r="6" ht="28" customHeight="1">
      <x:c r="A6" s="2" t="str">
        <x:v>TEST-PCBA-NANO</x:v>
      </x:c>
      <x:c r="B6" s="2" t="str">
        <x:v>参考经典 Nano 的测试控制板</x:v>
      </x:c>
      <x:c r="C6" s="2" t="str">
        <x:v>PRODUCT</x:v>
      </x:c>
      <x:c r="D6" s="2" t="str">
        <x:v>紧凑型控制板参考；测试编码及制造路线自定</x:v>
      </x:c>
      <x:c r="E6" s="2" t="str">
        <x:v>PCS</x:v>
      </x:c>
      <x:c r="F6" s="2" t="str">
        <x:v>公开产品参考；生产参数为测试设定</x:v>
      </x:c>
      <x:c r="G6" s="2" t="str"/>
      <x:c r="H6" s="18" t="str">
        <x:v>https://docs.arduino.cc/hardware/nano</x:v>
      </x:c>
    </x:row>
    <x:row r="7" ht="28" customHeight="1">
      <x:c r="A7" s="2" t="str">
        <x:v>TEST-PCBA-R4</x:v>
      </x:c>
      <x:c r="B7" s="2" t="str">
        <x:v>参考 UNO R4 Minima 的测试控制板</x:v>
      </x:c>
      <x:c r="C7" s="2" t="str">
        <x:v>PRODUCT</x:v>
      </x:c>
      <x:c r="D7" s="2" t="str">
        <x:v>32 位控制板参考；测试编码及制造路线自定</x:v>
      </x:c>
      <x:c r="E7" s="2" t="str">
        <x:v>PCS</x:v>
      </x:c>
      <x:c r="F7" s="2" t="str">
        <x:v>公开产品参考；生产参数为测试设定</x:v>
      </x:c>
      <x:c r="G7" s="2" t="str"/>
      <x:c r="H7" s="18" t="str">
        <x:v>https://docs.arduino.cc/hardware/uno-r4-minima</x:v>
      </x:c>
    </x:row>
    <x:row r="8" ht="28" customHeight="1">
      <x:c r="A8" s="2" t="str">
        <x:v>TEST-PCBA-R3-SEMI</x:v>
      </x:c>
      <x:c r="B8" s="2" t="str">
        <x:v>参考 UNO Rev3 SMD 的测试控制板半成品</x:v>
      </x:c>
      <x:c r="C8" s="2" t="str">
        <x:v>SEMI_FINISHED</x:v>
      </x:c>
      <x:c r="D8" s="2" t="str">
        <x:v>已贴片待后段；供料边界为测试设定</x:v>
      </x:c>
      <x:c r="E8" s="2" t="str">
        <x:v>PCS</x:v>
      </x:c>
      <x:c r="F8" s="2" t="str">
        <x:v>测试设定</x:v>
      </x:c>
      <x:c r="G8" s="2" t="str"/>
      <x:c r="H8" s="18"/>
    </x:row>
    <x:row r="9" ht="28" customHeight="1">
      <x:c r="A9" s="2" t="str">
        <x:v>TEST-PCBA-NANO-SEMI</x:v>
      </x:c>
      <x:c r="B9" s="2" t="str">
        <x:v>参考经典 Nano 的测试控制板半成品</x:v>
      </x:c>
      <x:c r="C9" s="2" t="str">
        <x:v>SEMI_FINISHED</x:v>
      </x:c>
      <x:c r="D9" s="2" t="str">
        <x:v>已贴片待后段；供料边界为测试设定</x:v>
      </x:c>
      <x:c r="E9" s="2" t="str">
        <x:v>PCS</x:v>
      </x:c>
      <x:c r="F9" s="2" t="str">
        <x:v>测试设定</x:v>
      </x:c>
      <x:c r="G9" s="2" t="str"/>
      <x:c r="H9" s="18"/>
    </x:row>
    <x:row r="10" ht="28" customHeight="1">
      <x:c r="A10" s="2" t="str">
        <x:v>TEST-PCBA-R4-SEMI</x:v>
      </x:c>
      <x:c r="B10" s="2" t="str">
        <x:v>参考 UNO R4 Minima 的测试控制板半成品</x:v>
      </x:c>
      <x:c r="C10" s="2" t="str">
        <x:v>SEMI_FINISHED</x:v>
      </x:c>
      <x:c r="D10" s="2" t="str">
        <x:v>已贴片待后段；供料边界为测试设定</x:v>
      </x:c>
      <x:c r="E10" s="2" t="str">
        <x:v>PCS</x:v>
      </x:c>
      <x:c r="F10" s="2" t="str">
        <x:v>测试设定</x:v>
      </x:c>
      <x:c r="G10" s="2" t="str"/>
      <x:c r="H10" s="18"/>
    </x:row>
    <x:row r="11" ht="28" customHeight="1">
      <x:c r="A11" s="2" t="str">
        <x:v>TEST-PCBA-BOX</x:v>
      </x:c>
      <x:c r="B11" s="2" t="str">
        <x:v>测试防静电包装套</x:v>
      </x:c>
      <x:c r="C11" s="2" t="str">
        <x:v>MATERIAL</x:v>
      </x:c>
      <x:c r="D11" s="2" t="str">
        <x:v>一块控制板一套；测试设定</x:v>
      </x:c>
      <x:c r="E11" s="2" t="str">
        <x:v>PCS</x:v>
      </x:c>
      <x:c r="F11" s="2" t="str">
        <x:v>测试设定</x:v>
      </x:c>
      <x:c r="G11" s="2" t="str"/>
      <x:c r="H11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6" hidden="0" customWidth="1"/>
    <x:col min="4" max="4" width="28" hidden="0" customWidth="1"/>
    <x:col min="5" max="5" width="18" hidden="0" customWidth="1"/>
    <x:col min="6" max="6" width="12" hidden="0" customWidth="1"/>
    <x:col min="7" max="7" width="16" hidden="0" customWidth="1"/>
    <x:col min="8" max="8" width="15" hidden="0" customWidth="1"/>
    <x:col min="9" max="9" width="18" hidden="0" customWidth="1"/>
  </x:cols>
  <x:sheetData>
    <x:row r="2" ht="27" customHeight="1">
      <x:c r="A2" s="4" t="str">
        <x:v>测试车间与五个工作中心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9" t="str">
        <x:v>类别</x:v>
      </x:c>
      <x:c r="B4" s="12" t="str">
        <x:v>编码</x:v>
      </x:c>
      <x:c r="C4" s="12" t="str">
        <x:v>名称</x:v>
      </x:c>
      <x:c r="D4" s="12" t="str">
        <x:v>上级车间</x:v>
      </x:c>
      <x:c r="E4" s="12" t="str">
        <x:v>中心类型</x:v>
      </x:c>
      <x:c r="F4" s="12" t="str">
        <x:v>容量</x:v>
      </x:c>
      <x:c r="G4" s="12" t="str">
        <x:v>容量单位</x:v>
      </x:c>
      <x:c r="H4" s="12" t="str">
        <x:v>状态</x:v>
      </x:c>
      <x:c r="I4" s="10" t="str">
        <x:v>数据性质</x:v>
      </x:c>
    </x:row>
    <x:row r="5" ht="28" customHeight="1">
      <x:c r="A5" s="2" t="str">
        <x:v>车间</x:v>
      </x:c>
      <x:c r="B5" s="2" t="str">
        <x:v>TEST-PCBA-WS01</x:v>
      </x:c>
      <x:c r="C5" s="2" t="str">
        <x:v>测试电子控制板后段车间</x:v>
      </x:c>
      <x:c r="D5" s="2"/>
      <x:c r="E5" s="2"/>
      <x:c r="F5" s="2"/>
      <x:c r="G5" s="2"/>
      <x:c r="H5" s="2" t="str">
        <x:v>ACTIVE</x:v>
      </x:c>
      <x:c r="I5" s="2" t="str">
        <x:v>测试设定</x:v>
      </x:c>
    </x:row>
    <x:row r="6" ht="28" customHeight="1">
      <x:c r="A6" s="2" t="str">
        <x:v>工作中心</x:v>
      </x:c>
      <x:c r="B6" s="2" t="str">
        <x:v>TEST-PCBA-WELD</x:v>
      </x:c>
      <x:c r="C6" s="2" t="str">
        <x:v>插件补焊中心</x:v>
      </x:c>
      <x:c r="D6" s="2" t="str">
        <x:v>TEST-PCBA-WS01</x:v>
      </x:c>
      <x:c r="E6" s="2" t="str">
        <x:v>MIXED</x:v>
      </x:c>
      <x:c r="F6" s="2" t="n">
        <x:v>2</x:v>
      </x:c>
      <x:c r="G6" s="2" t="str">
        <x:v>COUNT</x:v>
      </x:c>
      <x:c r="H6" s="2" t="str">
        <x:v>ACTIVE</x:v>
      </x:c>
      <x:c r="I6" s="2" t="str">
        <x:v>测试设定</x:v>
      </x:c>
    </x:row>
    <x:row r="7" ht="28" customHeight="1">
      <x:c r="A7" s="2" t="str">
        <x:v>工作中心</x:v>
      </x:c>
      <x:c r="B7" s="2" t="str">
        <x:v>TEST-PCBA-FLASH</x:v>
      </x:c>
      <x:c r="C7" s="2" t="str">
        <x:v>程序烧录中心</x:v>
      </x:c>
      <x:c r="D7" s="2" t="str">
        <x:v>TEST-PCBA-WS01</x:v>
      </x:c>
      <x:c r="E7" s="2" t="str">
        <x:v>MIXED</x:v>
      </x:c>
      <x:c r="F7" s="2" t="n">
        <x:v>1</x:v>
      </x:c>
      <x:c r="G7" s="2" t="str">
        <x:v>COUNT</x:v>
      </x:c>
      <x:c r="H7" s="2" t="str">
        <x:v>ACTIVE</x:v>
      </x:c>
      <x:c r="I7" s="2" t="str">
        <x:v>测试设定</x:v>
      </x:c>
    </x:row>
    <x:row r="8" ht="28" customHeight="1">
      <x:c r="A8" s="2" t="str">
        <x:v>工作中心</x:v>
      </x:c>
      <x:c r="B8" s="2" t="str">
        <x:v>TEST-PCBA-FCT</x:v>
      </x:c>
      <x:c r="C8" s="2" t="str">
        <x:v>功能测试中心</x:v>
      </x:c>
      <x:c r="D8" s="2" t="str">
        <x:v>TEST-PCBA-WS01</x:v>
      </x:c>
      <x:c r="E8" s="2" t="str">
        <x:v>MIXED</x:v>
      </x:c>
      <x:c r="F8" s="2" t="n">
        <x:v>1</x:v>
      </x:c>
      <x:c r="G8" s="2" t="str">
        <x:v>COUNT</x:v>
      </x:c>
      <x:c r="H8" s="2" t="str">
        <x:v>ACTIVE</x:v>
      </x:c>
      <x:c r="I8" s="2" t="str">
        <x:v>测试设定</x:v>
      </x:c>
    </x:row>
    <x:row r="9" ht="28" customHeight="1">
      <x:c r="A9" s="2" t="str">
        <x:v>工作中心</x:v>
      </x:c>
      <x:c r="B9" s="2" t="str">
        <x:v>TEST-PCBA-INSPECT</x:v>
      </x:c>
      <x:c r="C9" s="2" t="str">
        <x:v>外观检验中心</x:v>
      </x:c>
      <x:c r="D9" s="2" t="str">
        <x:v>TEST-PCBA-WS01</x:v>
      </x:c>
      <x:c r="E9" s="2" t="str">
        <x:v>MIXED</x:v>
      </x:c>
      <x:c r="F9" s="2" t="n">
        <x:v>1</x:v>
      </x:c>
      <x:c r="G9" s="2" t="str">
        <x:v>COUNT</x:v>
      </x:c>
      <x:c r="H9" s="2" t="str">
        <x:v>ACTIVE</x:v>
      </x:c>
      <x:c r="I9" s="2" t="str">
        <x:v>测试设定</x:v>
      </x:c>
    </x:row>
    <x:row r="10" ht="28" customHeight="1">
      <x:c r="A10" s="2" t="str">
        <x:v>工作中心</x:v>
      </x:c>
      <x:c r="B10" s="2" t="str">
        <x:v>TEST-PCBA-PACK</x:v>
      </x:c>
      <x:c r="C10" s="2" t="str">
        <x:v>包装中心</x:v>
      </x:c>
      <x:c r="D10" s="2" t="str">
        <x:v>TEST-PCBA-WS01</x:v>
      </x:c>
      <x:c r="E10" s="2" t="str">
        <x:v>MIXED</x:v>
      </x:c>
      <x:c r="F10" s="2" t="n">
        <x:v>1</x:v>
      </x:c>
      <x:c r="G10" s="2" t="str">
        <x:v>COUNT</x:v>
      </x:c>
      <x:c r="H10" s="2" t="str">
        <x:v>ACTIVE</x:v>
      </x:c>
      <x:c r="I10" s="2" t="str">
        <x:v>测试设定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1" hidden="0" customWidth="1"/>
    <x:col min="3" max="3" width="19" hidden="0" customWidth="1"/>
    <x:col min="4" max="4" width="27" hidden="0" customWidth="1"/>
    <x:col min="5" max="5" width="26" hidden="0" customWidth="1"/>
    <x:col min="6" max="6" width="9" hidden="0" customWidth="1"/>
    <x:col min="7" max="7" width="11" hidden="0" customWidth="1"/>
    <x:col min="8" max="8" width="17" hidden="0" customWidth="1"/>
    <x:col min="9" max="9" width="15" hidden="0" customWidth="1"/>
  </x:cols>
  <x:sheetData>
    <x:row r="2" ht="27" customHeight="1">
      <x:c r="A2" s="4" t="str">
        <x:v>具名人员与设备工位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9" t="str">
        <x:v>编码</x:v>
      </x:c>
      <x:c r="B4" s="12" t="str">
        <x:v>名称</x:v>
      </x:c>
      <x:c r="C4" s="12" t="str">
        <x:v>类型</x:v>
      </x:c>
      <x:c r="D4" s="12" t="str">
        <x:v>车间编码</x:v>
      </x:c>
      <x:c r="E4" s="12" t="str">
        <x:v>中心编码</x:v>
      </x:c>
      <x:c r="F4" s="12" t="str">
        <x:v>容量</x:v>
      </x:c>
      <x:c r="G4" s="12" t="str">
        <x:v>单位</x:v>
      </x:c>
      <x:c r="H4" s="12" t="str">
        <x:v>状态</x:v>
      </x:c>
      <x:c r="I4" s="10" t="str">
        <x:v>数据性质</x:v>
      </x:c>
    </x:row>
    <x:row r="5" ht="28" customHeight="1">
      <x:c r="A5" s="2" t="str">
        <x:v>TEST-PCBA-P01</x:v>
      </x:c>
      <x:c r="B5" s="2" t="str">
        <x:v>测试操作员01</x:v>
      </x:c>
      <x:c r="C5" s="2" t="str">
        <x:v>PERSON</x:v>
      </x:c>
      <x:c r="D5" s="2" t="str">
        <x:v>TEST-PCBA-WS01</x:v>
      </x:c>
      <x:c r="E5" s="2"/>
      <x:c r="F5" s="2" t="n">
        <x:v>1</x:v>
      </x:c>
      <x:c r="G5" s="2" t="str">
        <x:v>COUNT</x:v>
      </x:c>
      <x:c r="H5" s="2" t="str">
        <x:v>ACTIVE</x:v>
      </x:c>
      <x:c r="I5" s="2" t="str">
        <x:v>测试设定</x:v>
      </x:c>
    </x:row>
    <x:row r="6" ht="28" customHeight="1">
      <x:c r="A6" s="2" t="str">
        <x:v>TEST-PCBA-P02</x:v>
      </x:c>
      <x:c r="B6" s="2" t="str">
        <x:v>测试操作员02</x:v>
      </x:c>
      <x:c r="C6" s="2" t="str">
        <x:v>PERSON</x:v>
      </x:c>
      <x:c r="D6" s="2" t="str">
        <x:v>TEST-PCBA-WS01</x:v>
      </x:c>
      <x:c r="E6" s="2"/>
      <x:c r="F6" s="2" t="n">
        <x:v>1</x:v>
      </x:c>
      <x:c r="G6" s="2" t="str">
        <x:v>COUNT</x:v>
      </x:c>
      <x:c r="H6" s="2" t="str">
        <x:v>ACTIVE</x:v>
      </x:c>
      <x:c r="I6" s="2" t="str">
        <x:v>测试设定</x:v>
      </x:c>
    </x:row>
    <x:row r="7" ht="28" customHeight="1">
      <x:c r="A7" s="2" t="str">
        <x:v>TEST-PCBA-P03</x:v>
      </x:c>
      <x:c r="B7" s="2" t="str">
        <x:v>测试操作员03</x:v>
      </x:c>
      <x:c r="C7" s="2" t="str">
        <x:v>PERSON</x:v>
      </x:c>
      <x:c r="D7" s="2" t="str">
        <x:v>TEST-PCBA-WS01</x:v>
      </x:c>
      <x:c r="E7" s="2"/>
      <x:c r="F7" s="2" t="n">
        <x:v>1</x:v>
      </x:c>
      <x:c r="G7" s="2" t="str">
        <x:v>COUNT</x:v>
      </x:c>
      <x:c r="H7" s="2" t="str">
        <x:v>ACTIVE</x:v>
      </x:c>
      <x:c r="I7" s="2" t="str">
        <x:v>测试设定</x:v>
      </x:c>
    </x:row>
    <x:row r="8" ht="28" customHeight="1">
      <x:c r="A8" s="2" t="str">
        <x:v>TEST-PCBA-P04</x:v>
      </x:c>
      <x:c r="B8" s="2" t="str">
        <x:v>测试操作员04</x:v>
      </x:c>
      <x:c r="C8" s="2" t="str">
        <x:v>PERSON</x:v>
      </x:c>
      <x:c r="D8" s="2" t="str">
        <x:v>TEST-PCBA-WS01</x:v>
      </x:c>
      <x:c r="E8" s="2"/>
      <x:c r="F8" s="2" t="n">
        <x:v>1</x:v>
      </x:c>
      <x:c r="G8" s="2" t="str">
        <x:v>COUNT</x:v>
      </x:c>
      <x:c r="H8" s="2" t="str">
        <x:v>ACTIVE</x:v>
      </x:c>
      <x:c r="I8" s="2" t="str">
        <x:v>测试设定</x:v>
      </x:c>
    </x:row>
    <x:row r="9" ht="28" customHeight="1">
      <x:c r="A9" s="2" t="str">
        <x:v>TEST-PCBA-P05</x:v>
      </x:c>
      <x:c r="B9" s="2" t="str">
        <x:v>测试操作员05</x:v>
      </x:c>
      <x:c r="C9" s="2" t="str">
        <x:v>PERSON</x:v>
      </x:c>
      <x:c r="D9" s="2" t="str">
        <x:v>TEST-PCBA-WS01</x:v>
      </x:c>
      <x:c r="E9" s="2"/>
      <x:c r="F9" s="2" t="n">
        <x:v>1</x:v>
      </x:c>
      <x:c r="G9" s="2" t="str">
        <x:v>COUNT</x:v>
      </x:c>
      <x:c r="H9" s="2" t="str">
        <x:v>ACTIVE</x:v>
      </x:c>
      <x:c r="I9" s="2" t="str">
        <x:v>测试设定</x:v>
      </x:c>
    </x:row>
    <x:row r="10" ht="28" customHeight="1">
      <x:c r="A10" s="2" t="str">
        <x:v>TEST-PCBA-P06</x:v>
      </x:c>
      <x:c r="B10" s="2" t="str">
        <x:v>测试操作员06</x:v>
      </x:c>
      <x:c r="C10" s="2" t="str">
        <x:v>PERSON</x:v>
      </x:c>
      <x:c r="D10" s="2" t="str">
        <x:v>TEST-PCBA-WS01</x:v>
      </x:c>
      <x:c r="E10" s="2"/>
      <x:c r="F10" s="2" t="n">
        <x:v>1</x:v>
      </x:c>
      <x:c r="G10" s="2" t="str">
        <x:v>COUNT</x:v>
      </x:c>
      <x:c r="H10" s="2" t="str">
        <x:v>ACTIVE</x:v>
      </x:c>
      <x:c r="I10" s="2" t="str">
        <x:v>测试设定</x:v>
      </x:c>
    </x:row>
    <x:row r="11" ht="28" customHeight="1">
      <x:c r="A11" s="2" t="str">
        <x:v>TEST-PCBA-M-W01</x:v>
      </x:c>
      <x:c r="B11" s="2" t="str">
        <x:v>测试焊接工位01</x:v>
      </x:c>
      <x:c r="C11" s="2" t="str">
        <x:v>MACHINE</x:v>
      </x:c>
      <x:c r="D11" s="2" t="str">
        <x:v>TEST-PCBA-WS01</x:v>
      </x:c>
      <x:c r="E11" s="2" t="str">
        <x:v>TEST-PCBA-WELD</x:v>
      </x:c>
      <x:c r="F11" s="2" t="n">
        <x:v>1</x:v>
      </x:c>
      <x:c r="G11" s="2" t="str">
        <x:v>COUNT</x:v>
      </x:c>
      <x:c r="H11" s="2" t="str">
        <x:v>ACTIVE</x:v>
      </x:c>
      <x:c r="I11" s="2" t="str">
        <x:v>测试设定</x:v>
      </x:c>
    </x:row>
    <x:row r="12" ht="28" customHeight="1">
      <x:c r="A12" s="2" t="str">
        <x:v>TEST-PCBA-M-W02</x:v>
      </x:c>
      <x:c r="B12" s="2" t="str">
        <x:v>测试焊接工位02</x:v>
      </x:c>
      <x:c r="C12" s="2" t="str">
        <x:v>MACHINE</x:v>
      </x:c>
      <x:c r="D12" s="2" t="str">
        <x:v>TEST-PCBA-WS01</x:v>
      </x:c>
      <x:c r="E12" s="2" t="str">
        <x:v>TEST-PCBA-WELD</x:v>
      </x:c>
      <x:c r="F12" s="2" t="n">
        <x:v>1</x:v>
      </x:c>
      <x:c r="G12" s="2" t="str">
        <x:v>COUNT</x:v>
      </x:c>
      <x:c r="H12" s="2" t="str">
        <x:v>ACTIVE</x:v>
      </x:c>
      <x:c r="I12" s="2" t="str">
        <x:v>测试设定</x:v>
      </x:c>
    </x:row>
    <x:row r="13" ht="28" customHeight="1">
      <x:c r="A13" s="2" t="str">
        <x:v>TEST-PCBA-M-FL01</x:v>
      </x:c>
      <x:c r="B13" s="2" t="str">
        <x:v>测试烧录设备01</x:v>
      </x:c>
      <x:c r="C13" s="2" t="str">
        <x:v>MACHINE</x:v>
      </x:c>
      <x:c r="D13" s="2" t="str">
        <x:v>TEST-PCBA-WS01</x:v>
      </x:c>
      <x:c r="E13" s="2" t="str">
        <x:v>TEST-PCBA-FLASH</x:v>
      </x:c>
      <x:c r="F13" s="2" t="n">
        <x:v>1</x:v>
      </x:c>
      <x:c r="G13" s="2" t="str">
        <x:v>COUNT</x:v>
      </x:c>
      <x:c r="H13" s="2" t="str">
        <x:v>ACTIVE</x:v>
      </x:c>
      <x:c r="I13" s="2" t="str">
        <x:v>测试设定</x:v>
      </x:c>
    </x:row>
    <x:row r="14" ht="28" customHeight="1">
      <x:c r="A14" s="2" t="str">
        <x:v>TEST-PCBA-M-FT01</x:v>
      </x:c>
      <x:c r="B14" s="2" t="str">
        <x:v>测试功能测试设备01</x:v>
      </x:c>
      <x:c r="C14" s="2" t="str">
        <x:v>MACHINE</x:v>
      </x:c>
      <x:c r="D14" s="2" t="str">
        <x:v>TEST-PCBA-WS01</x:v>
      </x:c>
      <x:c r="E14" s="2" t="str">
        <x:v>TEST-PCBA-FCT</x:v>
      </x:c>
      <x:c r="F14" s="2" t="n">
        <x:v>1</x:v>
      </x:c>
      <x:c r="G14" s="2" t="str">
        <x:v>COUNT</x:v>
      </x:c>
      <x:c r="H14" s="2" t="str">
        <x:v>ACTIVE</x:v>
      </x:c>
      <x:c r="I14" s="2" t="str">
        <x:v>测试设定</x:v>
      </x:c>
    </x:row>
    <x:row r="15" ht="28" customHeight="1">
      <x:c r="A15" s="2" t="str">
        <x:v>TEST-PCBA-S-I01</x:v>
      </x:c>
      <x:c r="B15" s="2" t="str">
        <x:v>测试检验工位01</x:v>
      </x:c>
      <x:c r="C15" s="2" t="str">
        <x:v>WORKSTATION</x:v>
      </x:c>
      <x:c r="D15" s="2" t="str">
        <x:v>TEST-PCBA-WS01</x:v>
      </x:c>
      <x:c r="E15" s="2" t="str">
        <x:v>TEST-PCBA-INSPECT</x:v>
      </x:c>
      <x:c r="F15" s="2" t="n">
        <x:v>1</x:v>
      </x:c>
      <x:c r="G15" s="2" t="str">
        <x:v>COUNT</x:v>
      </x:c>
      <x:c r="H15" s="2" t="str">
        <x:v>ACTIVE</x:v>
      </x:c>
      <x:c r="I15" s="2" t="str">
        <x:v>测试设定</x:v>
      </x:c>
    </x:row>
    <x:row r="16" ht="28" customHeight="1">
      <x:c r="A16" s="2" t="str">
        <x:v>TEST-PCBA-S-P01</x:v>
      </x:c>
      <x:c r="B16" s="2" t="str">
        <x:v>测试包装工位01</x:v>
      </x:c>
      <x:c r="C16" s="2" t="str">
        <x:v>WORKSTATION</x:v>
      </x:c>
      <x:c r="D16" s="2" t="str">
        <x:v>TEST-PCBA-WS01</x:v>
      </x:c>
      <x:c r="E16" s="2" t="str">
        <x:v>TEST-PCBA-PACK</x:v>
      </x:c>
      <x:c r="F16" s="2" t="n">
        <x:v>1</x:v>
      </x:c>
      <x:c r="G16" s="2" t="str">
        <x:v>COUNT</x:v>
      </x:c>
      <x:c r="H16" s="2" t="str">
        <x:v>ACTIVE</x:v>
      </x:c>
      <x:c r="I16" s="2" t="str">
        <x:v>测试设定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9" hidden="0" customWidth="1"/>
    <x:col min="5" max="5" width="24" hidden="0" customWidth="1"/>
    <x:col min="6" max="6" width="24" hidden="0" customWidth="1"/>
    <x:col min="7" max="7" width="13" hidden="0" customWidth="1"/>
    <x:col min="8" max="8" width="15" hidden="0" customWidth="1"/>
  </x:cols>
  <x:sheetData>
    <x:row r="2" ht="27" customHeight="1">
      <x:c r="A2" s="4" t="str">
        <x:v>人员技能及资格有效期</x:v>
      </x:c>
      <x:c r="B2" s="3"/>
      <x:c r="C2" s="3"/>
      <x:c r="D2" s="3"/>
      <x:c r="E2" s="3"/>
      <x:c r="F2" s="3"/>
      <x:c r="G2" s="3"/>
      <x:c r="H2" s="3"/>
    </x:row>
    <x:row r="3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9" t="str">
        <x:v>人员编码</x:v>
      </x:c>
      <x:c r="B4" s="12" t="str">
        <x:v>技能</x:v>
      </x:c>
      <x:c r="C4" s="12" t="str">
        <x:v>名称</x:v>
      </x:c>
      <x:c r="D4" s="12" t="str">
        <x:v>等级</x:v>
      </x:c>
      <x:c r="E4" s="12" t="str">
        <x:v>有效开始</x:v>
      </x:c>
      <x:c r="F4" s="12" t="str">
        <x:v>有效结束</x:v>
      </x:c>
      <x:c r="G4" s="12" t="str">
        <x:v>状态</x:v>
      </x:c>
      <x:c r="H4" s="10" t="str">
        <x:v>数据性质</x:v>
      </x:c>
    </x:row>
    <x:row r="5" ht="28" customHeight="1">
      <x:c r="A5" s="2" t="str">
        <x:v>TEST-PCBA-P01</x:v>
      </x:c>
      <x:c r="B5" s="2" t="str">
        <x:v>WELD</x:v>
      </x:c>
      <x:c r="C5" s="2" t="str">
        <x:v>插件补焊技能</x:v>
      </x:c>
      <x:c r="D5" s="2" t="n">
        <x:v>2</x:v>
      </x:c>
      <x:c r="E5" s="20" t="n">
        <x:v>46296</x:v>
      </x:c>
      <x:c r="F5" s="20" t="n">
        <x:v>46387.99998842592</x:v>
      </x:c>
      <x:c r="G5" s="2" t="str">
        <x:v>ACTIVE</x:v>
      </x:c>
      <x:c r="H5" s="2" t="str">
        <x:v>测试设定</x:v>
      </x:c>
    </x:row>
    <x:row r="6" ht="28" customHeight="1">
      <x:c r="A6" s="2" t="str">
        <x:v>TEST-PCBA-P01</x:v>
      </x:c>
      <x:c r="B6" s="2" t="str">
        <x:v>FCT</x:v>
      </x:c>
      <x:c r="C6" s="2" t="str">
        <x:v>功能测试技能</x:v>
      </x:c>
      <x:c r="D6" s="2" t="n">
        <x:v>2</x:v>
      </x:c>
      <x:c r="E6" s="20" t="n">
        <x:v>46296</x:v>
      </x:c>
      <x:c r="F6" s="20" t="n">
        <x:v>46387.99998842592</x:v>
      </x:c>
      <x:c r="G6" s="2" t="str">
        <x:v>ACTIVE</x:v>
      </x:c>
      <x:c r="H6" s="2" t="str">
        <x:v>测试设定</x:v>
      </x:c>
    </x:row>
    <x:row r="7" ht="28" customHeight="1">
      <x:c r="A7" s="2" t="str">
        <x:v>TEST-PCBA-P02</x:v>
      </x:c>
      <x:c r="B7" s="2" t="str">
        <x:v>WELD</x:v>
      </x:c>
      <x:c r="C7" s="2" t="str">
        <x:v>插件补焊技能</x:v>
      </x:c>
      <x:c r="D7" s="2" t="n">
        <x:v>2</x:v>
      </x:c>
      <x:c r="E7" s="20" t="n">
        <x:v>46296</x:v>
      </x:c>
      <x:c r="F7" s="20" t="n">
        <x:v>46387.99998842592</x:v>
      </x:c>
      <x:c r="G7" s="2" t="str">
        <x:v>ACTIVE</x:v>
      </x:c>
      <x:c r="H7" s="2" t="str">
        <x:v>测试设定</x:v>
      </x:c>
    </x:row>
    <x:row r="8" ht="28" customHeight="1">
      <x:c r="A8" s="2" t="str">
        <x:v>TEST-PCBA-P03</x:v>
      </x:c>
      <x:c r="B8" s="2" t="str">
        <x:v>FLASH</x:v>
      </x:c>
      <x:c r="C8" s="2" t="str">
        <x:v>程序烧录技能</x:v>
      </x:c>
      <x:c r="D8" s="2" t="n">
        <x:v>1</x:v>
      </x:c>
      <x:c r="E8" s="20" t="n">
        <x:v>46296</x:v>
      </x:c>
      <x:c r="F8" s="20" t="n">
        <x:v>46387.99998842592</x:v>
      </x:c>
      <x:c r="G8" s="2" t="str">
        <x:v>ACTIVE</x:v>
      </x:c>
      <x:c r="H8" s="2" t="str">
        <x:v>测试设定</x:v>
      </x:c>
    </x:row>
    <x:row r="9" ht="28" customHeight="1">
      <x:c r="A9" s="2" t="str">
        <x:v>TEST-PCBA-P03</x:v>
      </x:c>
      <x:c r="B9" s="2" t="str">
        <x:v>FCT</x:v>
      </x:c>
      <x:c r="C9" s="2" t="str">
        <x:v>功能测试技能</x:v>
      </x:c>
      <x:c r="D9" s="2" t="n">
        <x:v>2</x:v>
      </x:c>
      <x:c r="E9" s="20" t="n">
        <x:v>46296</x:v>
      </x:c>
      <x:c r="F9" s="20" t="n">
        <x:v>46387.99998842592</x:v>
      </x:c>
      <x:c r="G9" s="2" t="str">
        <x:v>ACTIVE</x:v>
      </x:c>
      <x:c r="H9" s="2" t="str">
        <x:v>测试设定</x:v>
      </x:c>
    </x:row>
    <x:row r="10" ht="28" customHeight="1">
      <x:c r="A10" s="2" t="str">
        <x:v>TEST-PCBA-P04</x:v>
      </x:c>
      <x:c r="B10" s="2" t="str">
        <x:v>FLASH</x:v>
      </x:c>
      <x:c r="C10" s="2" t="str">
        <x:v>程序烧录技能</x:v>
      </x:c>
      <x:c r="D10" s="2" t="n">
        <x:v>1</x:v>
      </x:c>
      <x:c r="E10" s="20" t="n">
        <x:v>46296</x:v>
      </x:c>
      <x:c r="F10" s="20" t="n">
        <x:v>46387.99998842592</x:v>
      </x:c>
      <x:c r="G10" s="2" t="str">
        <x:v>ACTIVE</x:v>
      </x:c>
      <x:c r="H10" s="2" t="str">
        <x:v>测试设定</x:v>
      </x:c>
    </x:row>
    <x:row r="11" ht="28" customHeight="1">
      <x:c r="A11" s="2" t="str">
        <x:v>TEST-PCBA-P04</x:v>
      </x:c>
      <x:c r="B11" s="2" t="str">
        <x:v>FCT</x:v>
      </x:c>
      <x:c r="C11" s="2" t="str">
        <x:v>功能测试技能</x:v>
      </x:c>
      <x:c r="D11" s="2" t="n">
        <x:v>2</x:v>
      </x:c>
      <x:c r="E11" s="20" t="n">
        <x:v>46296</x:v>
      </x:c>
      <x:c r="F11" s="20" t="n">
        <x:v>46387.99998842592</x:v>
      </x:c>
      <x:c r="G11" s="2" t="str">
        <x:v>ACTIVE</x:v>
      </x:c>
      <x:c r="H11" s="2" t="str">
        <x:v>测试设定</x:v>
      </x:c>
    </x:row>
    <x:row r="12" ht="28" customHeight="1">
      <x:c r="A12" s="2" t="str">
        <x:v>TEST-PCBA-P05</x:v>
      </x:c>
      <x:c r="B12" s="2" t="str">
        <x:v>INSPECT</x:v>
      </x:c>
      <x:c r="C12" s="2" t="str">
        <x:v>外观检验技能</x:v>
      </x:c>
      <x:c r="D12" s="2" t="n">
        <x:v>1</x:v>
      </x:c>
      <x:c r="E12" s="20" t="n">
        <x:v>46296</x:v>
      </x:c>
      <x:c r="F12" s="20" t="n">
        <x:v>46387.99998842592</x:v>
      </x:c>
      <x:c r="G12" s="2" t="str">
        <x:v>ACTIVE</x:v>
      </x:c>
      <x:c r="H12" s="2" t="str">
        <x:v>测试设定</x:v>
      </x:c>
    </x:row>
    <x:row r="13" ht="28" customHeight="1">
      <x:c r="A13" s="2" t="str">
        <x:v>TEST-PCBA-P05</x:v>
      </x:c>
      <x:c r="B13" s="2" t="str">
        <x:v>PACK</x:v>
      </x:c>
      <x:c r="C13" s="2" t="str">
        <x:v>包装技能</x:v>
      </x:c>
      <x:c r="D13" s="2" t="n">
        <x:v>1</x:v>
      </x:c>
      <x:c r="E13" s="20" t="n">
        <x:v>46296</x:v>
      </x:c>
      <x:c r="F13" s="20" t="n">
        <x:v>46387.99998842592</x:v>
      </x:c>
      <x:c r="G13" s="2" t="str">
        <x:v>ACTIVE</x:v>
      </x:c>
      <x:c r="H13" s="2" t="str">
        <x:v>测试设定</x:v>
      </x:c>
    </x:row>
    <x:row r="14" ht="28" customHeight="1">
      <x:c r="A14" s="2" t="str">
        <x:v>TEST-PCBA-P06</x:v>
      </x:c>
      <x:c r="B14" s="2" t="str">
        <x:v>INSPECT</x:v>
      </x:c>
      <x:c r="C14" s="2" t="str">
        <x:v>外观检验技能</x:v>
      </x:c>
      <x:c r="D14" s="2" t="n">
        <x:v>1</x:v>
      </x:c>
      <x:c r="E14" s="20" t="n">
        <x:v>46296</x:v>
      </x:c>
      <x:c r="F14" s="20" t="n">
        <x:v>46387.99998842592</x:v>
      </x:c>
      <x:c r="G14" s="2" t="str">
        <x:v>ACTIVE</x:v>
      </x:c>
      <x:c r="H14" s="2" t="str">
        <x:v>测试设定</x:v>
      </x:c>
    </x:row>
    <x:row r="15" ht="28" customHeight="1">
      <x:c r="A15" s="2" t="str">
        <x:v>TEST-PCBA-P06</x:v>
      </x:c>
      <x:c r="B15" s="2" t="str">
        <x:v>PACK</x:v>
      </x:c>
      <x:c r="C15" s="2" t="str">
        <x:v>包装技能</x:v>
      </x:c>
      <x:c r="D15" s="2" t="n">
        <x:v>1</x:v>
      </x:c>
      <x:c r="E15" s="20" t="n">
        <x:v>46296</x:v>
      </x:c>
      <x:c r="F15" s="20" t="n">
        <x:v>46387.99998842592</x:v>
      </x:c>
      <x:c r="G15" s="2" t="str">
        <x:v>ACTIVE</x:v>
      </x:c>
      <x:c r="H15" s="2" t="str">
        <x:v>测试设定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" hidden="0" customWidth="1"/>
    <x:col min="2" max="2" width="17" hidden="0" customWidth="1"/>
    <x:col min="3" max="3" width="27" hidden="0" customWidth="1"/>
    <x:col min="4" max="4" width="27" hidden="0" customWidth="1"/>
    <x:col min="5" max="5" width="12" hidden="0" customWidth="1"/>
    <x:col min="6" max="6" width="17" hidden="0" customWidth="1"/>
    <x:col min="7" max="7" width="54" hidden="0" customWidth="1"/>
  </x:cols>
  <x:sheetData>
    <x:row r="2" ht="27" customHeight="1">
      <x:c r="A2" s="4" t="str">
        <x:v>资源日历：2026年10月12日至14日</x:v>
      </x:c>
      <x:c r="B2" s="3"/>
      <x:c r="C2" s="3"/>
      <x:c r="D2" s="3"/>
      <x:c r="E2" s="3"/>
      <x:c r="F2" s="3"/>
      <x:c r="G2" s="3"/>
    </x:row>
    <x:row r="3">
      <x:c r="A3" s="2"/>
      <x:c r="B3" s="2"/>
      <x:c r="C3" s="2"/>
      <x:c r="D3" s="2"/>
      <x:c r="E3" s="2"/>
      <x:c r="F3" s="2"/>
      <x:c r="G3" s="2"/>
    </x:row>
    <x:row r="4" ht="26" customHeight="1">
      <x:c r="A4" s="9" t="str">
        <x:v>资源编码</x:v>
      </x:c>
      <x:c r="B4" s="12" t="str">
        <x:v>类型</x:v>
      </x:c>
      <x:c r="C4" s="12" t="str">
        <x:v>开始（北京时间）</x:v>
      </x:c>
      <x:c r="D4" s="12" t="str">
        <x:v>结束（北京时间）</x:v>
      </x:c>
      <x:c r="E4" s="12" t="str">
        <x:v>可用比例</x:v>
      </x:c>
      <x:c r="F4" s="12" t="str">
        <x:v>来源</x:v>
      </x:c>
      <x:c r="G4" s="10" t="str">
        <x:v>说明</x:v>
      </x:c>
    </x:row>
    <x:row r="5" ht="28" customHeight="1">
      <x:c r="A5" s="2" t="str">
        <x:v>TEST-PCBA-P01</x:v>
      </x:c>
      <x:c r="B5" s="2" t="str">
        <x:v>AVAILABLE</x:v>
      </x:c>
      <x:c r="C5" s="20" t="n">
        <x:v>46307.333333333336</x:v>
      </x:c>
      <x:c r="D5" s="20" t="n">
        <x:v>46307.5</x:v>
      </x:c>
      <x:c r="E5" s="2" t="n">
        <x:v>1</x:v>
      </x:c>
      <x:c r="F5" s="2" t="str">
        <x:v>测试设定</x:v>
      </x:c>
      <x:c r="G5" s="2" t="str">
        <x:v>测试日历；12:00–13:00不提供可用窗口</x:v>
      </x:c>
    </x:row>
    <x:row r="6" ht="28" customHeight="1">
      <x:c r="A6" s="2" t="str">
        <x:v>TEST-PCBA-P01</x:v>
      </x:c>
      <x:c r="B6" s="2" t="str">
        <x:v>AVAILABLE</x:v>
      </x:c>
      <x:c r="C6" s="20" t="n">
        <x:v>46307.541666666664</x:v>
      </x:c>
      <x:c r="D6" s="20" t="n">
        <x:v>46307.708333333336</x:v>
      </x:c>
      <x:c r="E6" s="2" t="n">
        <x:v>1</x:v>
      </x:c>
      <x:c r="F6" s="2" t="str">
        <x:v>测试设定</x:v>
      </x:c>
      <x:c r="G6" s="2" t="str">
        <x:v>测试日历；12:00–13:00不提供可用窗口</x:v>
      </x:c>
    </x:row>
    <x:row r="7" ht="28" customHeight="1">
      <x:c r="A7" s="2" t="str">
        <x:v>TEST-PCBA-P01</x:v>
      </x:c>
      <x:c r="B7" s="2" t="str">
        <x:v>AVAILABLE</x:v>
      </x:c>
      <x:c r="C7" s="20" t="n">
        <x:v>46308.333333333336</x:v>
      </x:c>
      <x:c r="D7" s="20" t="n">
        <x:v>46308.5</x:v>
      </x:c>
      <x:c r="E7" s="2" t="n">
        <x:v>1</x:v>
      </x:c>
      <x:c r="F7" s="2" t="str">
        <x:v>测试设定</x:v>
      </x:c>
      <x:c r="G7" s="2" t="str">
        <x:v>测试日历；12:00–13:00不提供可用窗口</x:v>
      </x:c>
    </x:row>
    <x:row r="8" ht="28" customHeight="1">
      <x:c r="A8" s="2" t="str">
        <x:v>TEST-PCBA-P01</x:v>
      </x:c>
      <x:c r="B8" s="2" t="str">
        <x:v>AVAILABLE</x:v>
      </x:c>
      <x:c r="C8" s="20" t="n">
        <x:v>46308.541666666664</x:v>
      </x:c>
      <x:c r="D8" s="20" t="n">
        <x:v>46308.708333333336</x:v>
      </x:c>
      <x:c r="E8" s="2" t="n">
        <x:v>1</x:v>
      </x:c>
      <x:c r="F8" s="2" t="str">
        <x:v>测试设定</x:v>
      </x:c>
      <x:c r="G8" s="2" t="str">
        <x:v>测试日历；12:00–13:00不提供可用窗口</x:v>
      </x:c>
    </x:row>
    <x:row r="9" ht="28" customHeight="1">
      <x:c r="A9" s="2" t="str">
        <x:v>TEST-PCBA-P01</x:v>
      </x:c>
      <x:c r="B9" s="2" t="str">
        <x:v>AVAILABLE</x:v>
      </x:c>
      <x:c r="C9" s="20" t="n">
        <x:v>46309.333333333336</x:v>
      </x:c>
      <x:c r="D9" s="20" t="n">
        <x:v>46309.5</x:v>
      </x:c>
      <x:c r="E9" s="2" t="n">
        <x:v>1</x:v>
      </x:c>
      <x:c r="F9" s="2" t="str">
        <x:v>测试设定</x:v>
      </x:c>
      <x:c r="G9" s="2" t="str">
        <x:v>测试日历；12:00–13:00不提供可用窗口</x:v>
      </x:c>
    </x:row>
    <x:row r="10" ht="28" customHeight="1">
      <x:c r="A10" s="2" t="str">
        <x:v>TEST-PCBA-P01</x:v>
      </x:c>
      <x:c r="B10" s="2" t="str">
        <x:v>AVAILABLE</x:v>
      </x:c>
      <x:c r="C10" s="20" t="n">
        <x:v>46309.541666666664</x:v>
      </x:c>
      <x:c r="D10" s="20" t="n">
        <x:v>46309.708333333336</x:v>
      </x:c>
      <x:c r="E10" s="2" t="n">
        <x:v>1</x:v>
      </x:c>
      <x:c r="F10" s="2" t="str">
        <x:v>测试设定</x:v>
      </x:c>
      <x:c r="G10" s="2" t="str">
        <x:v>测试日历；12:00–13:00不提供可用窗口</x:v>
      </x:c>
    </x:row>
    <x:row r="11" ht="28" customHeight="1">
      <x:c r="A11" s="2" t="str">
        <x:v>TEST-PCBA-P02</x:v>
      </x:c>
      <x:c r="B11" s="2" t="str">
        <x:v>AVAILABLE</x:v>
      </x:c>
      <x:c r="C11" s="20" t="n">
        <x:v>46307.333333333336</x:v>
      </x:c>
      <x:c r="D11" s="20" t="n">
        <x:v>46307.5</x:v>
      </x:c>
      <x:c r="E11" s="2" t="n">
        <x:v>1</x:v>
      </x:c>
      <x:c r="F11" s="2" t="str">
        <x:v>测试设定</x:v>
      </x:c>
      <x:c r="G11" s="2" t="str">
        <x:v>测试日历；12:00–13:00不提供可用窗口</x:v>
      </x:c>
    </x:row>
    <x:row r="12" ht="28" customHeight="1">
      <x:c r="A12" s="2" t="str">
        <x:v>TEST-PCBA-P02</x:v>
      </x:c>
      <x:c r="B12" s="2" t="str">
        <x:v>AVAILABLE</x:v>
      </x:c>
      <x:c r="C12" s="20" t="n">
        <x:v>46307.541666666664</x:v>
      </x:c>
      <x:c r="D12" s="20" t="n">
        <x:v>46307.708333333336</x:v>
      </x:c>
      <x:c r="E12" s="2" t="n">
        <x:v>1</x:v>
      </x:c>
      <x:c r="F12" s="2" t="str">
        <x:v>测试设定</x:v>
      </x:c>
      <x:c r="G12" s="2" t="str">
        <x:v>测试日历；12:00–13:00不提供可用窗口</x:v>
      </x:c>
    </x:row>
    <x:row r="13" ht="28" customHeight="1">
      <x:c r="A13" s="2" t="str">
        <x:v>TEST-PCBA-P02</x:v>
      </x:c>
      <x:c r="B13" s="2" t="str">
        <x:v>AVAILABLE</x:v>
      </x:c>
      <x:c r="C13" s="20" t="n">
        <x:v>46308.333333333336</x:v>
      </x:c>
      <x:c r="D13" s="20" t="n">
        <x:v>46308.5</x:v>
      </x:c>
      <x:c r="E13" s="2" t="n">
        <x:v>1</x:v>
      </x:c>
      <x:c r="F13" s="2" t="str">
        <x:v>测试设定</x:v>
      </x:c>
      <x:c r="G13" s="2" t="str">
        <x:v>测试日历；12:00–13:00不提供可用窗口</x:v>
      </x:c>
    </x:row>
    <x:row r="14" ht="28" customHeight="1">
      <x:c r="A14" s="2" t="str">
        <x:v>TEST-PCBA-P02</x:v>
      </x:c>
      <x:c r="B14" s="2" t="str">
        <x:v>AVAILABLE</x:v>
      </x:c>
      <x:c r="C14" s="20" t="n">
        <x:v>46308.541666666664</x:v>
      </x:c>
      <x:c r="D14" s="20" t="n">
        <x:v>46308.708333333336</x:v>
      </x:c>
      <x:c r="E14" s="2" t="n">
        <x:v>1</x:v>
      </x:c>
      <x:c r="F14" s="2" t="str">
        <x:v>测试设定</x:v>
      </x:c>
      <x:c r="G14" s="2" t="str">
        <x:v>测试日历；12:00–13:00不提供可用窗口</x:v>
      </x:c>
    </x:row>
    <x:row r="15" ht="28" customHeight="1">
      <x:c r="A15" s="2" t="str">
        <x:v>TEST-PCBA-P02</x:v>
      </x:c>
      <x:c r="B15" s="2" t="str">
        <x:v>AVAILABLE</x:v>
      </x:c>
      <x:c r="C15" s="20" t="n">
        <x:v>46309.333333333336</x:v>
      </x:c>
      <x:c r="D15" s="20" t="n">
        <x:v>46309.5</x:v>
      </x:c>
      <x:c r="E15" s="2" t="n">
        <x:v>1</x:v>
      </x:c>
      <x:c r="F15" s="2" t="str">
        <x:v>测试设定</x:v>
      </x:c>
      <x:c r="G15" s="2" t="str">
        <x:v>测试日历；12:00–13:00不提供可用窗口</x:v>
      </x:c>
    </x:row>
    <x:row r="16" ht="28" customHeight="1">
      <x:c r="A16" s="2" t="str">
        <x:v>TEST-PCBA-P02</x:v>
      </x:c>
      <x:c r="B16" s="2" t="str">
        <x:v>AVAILABLE</x:v>
      </x:c>
      <x:c r="C16" s="20" t="n">
        <x:v>46309.541666666664</x:v>
      </x:c>
      <x:c r="D16" s="20" t="n">
        <x:v>46309.708333333336</x:v>
      </x:c>
      <x:c r="E16" s="2" t="n">
        <x:v>1</x:v>
      </x:c>
      <x:c r="F16" s="2" t="str">
        <x:v>测试设定</x:v>
      </x:c>
      <x:c r="G16" s="2" t="str">
        <x:v>测试日历；12:00–13:00不提供可用窗口</x:v>
      </x:c>
    </x:row>
    <x:row r="17" ht="28" customHeight="1">
      <x:c r="A17" s="2" t="str">
        <x:v>TEST-PCBA-P03</x:v>
      </x:c>
      <x:c r="B17" s="2" t="str">
        <x:v>AVAILABLE</x:v>
      </x:c>
      <x:c r="C17" s="20" t="n">
        <x:v>46307.333333333336</x:v>
      </x:c>
      <x:c r="D17" s="20" t="n">
        <x:v>46307.5</x:v>
      </x:c>
      <x:c r="E17" s="2" t="n">
        <x:v>1</x:v>
      </x:c>
      <x:c r="F17" s="2" t="str">
        <x:v>测试设定</x:v>
      </x:c>
      <x:c r="G17" s="2" t="str">
        <x:v>测试日历；12:00–13:00不提供可用窗口</x:v>
      </x:c>
    </x:row>
    <x:row r="18" ht="28" customHeight="1">
      <x:c r="A18" s="2" t="str">
        <x:v>TEST-PCBA-P03</x:v>
      </x:c>
      <x:c r="B18" s="2" t="str">
        <x:v>AVAILABLE</x:v>
      </x:c>
      <x:c r="C18" s="20" t="n">
        <x:v>46307.541666666664</x:v>
      </x:c>
      <x:c r="D18" s="20" t="n">
        <x:v>46307.708333333336</x:v>
      </x:c>
      <x:c r="E18" s="2" t="n">
        <x:v>1</x:v>
      </x:c>
      <x:c r="F18" s="2" t="str">
        <x:v>测试设定</x:v>
      </x:c>
      <x:c r="G18" s="2" t="str">
        <x:v>测试日历；12:00–13:00不提供可用窗口</x:v>
      </x:c>
    </x:row>
    <x:row r="19" ht="28" customHeight="1">
      <x:c r="A19" s="2" t="str">
        <x:v>TEST-PCBA-P03</x:v>
      </x:c>
      <x:c r="B19" s="2" t="str">
        <x:v>AVAILABLE</x:v>
      </x:c>
      <x:c r="C19" s="20" t="n">
        <x:v>46308.333333333336</x:v>
      </x:c>
      <x:c r="D19" s="20" t="n">
        <x:v>46308.5</x:v>
      </x:c>
      <x:c r="E19" s="2" t="n">
        <x:v>1</x:v>
      </x:c>
      <x:c r="F19" s="2" t="str">
        <x:v>测试设定</x:v>
      </x:c>
      <x:c r="G19" s="2" t="str">
        <x:v>测试日历；12:00–13:00不提供可用窗口</x:v>
      </x:c>
    </x:row>
    <x:row r="20" ht="28" customHeight="1">
      <x:c r="A20" s="2" t="str">
        <x:v>TEST-PCBA-P03</x:v>
      </x:c>
      <x:c r="B20" s="2" t="str">
        <x:v>AVAILABLE</x:v>
      </x:c>
      <x:c r="C20" s="20" t="n">
        <x:v>46308.541666666664</x:v>
      </x:c>
      <x:c r="D20" s="20" t="n">
        <x:v>46308.708333333336</x:v>
      </x:c>
      <x:c r="E20" s="2" t="n">
        <x:v>1</x:v>
      </x:c>
      <x:c r="F20" s="2" t="str">
        <x:v>测试设定</x:v>
      </x:c>
      <x:c r="G20" s="2" t="str">
        <x:v>测试日历；12:00–13:00不提供可用窗口</x:v>
      </x:c>
    </x:row>
    <x:row r="21" ht="28" customHeight="1">
      <x:c r="A21" s="2" t="str">
        <x:v>TEST-PCBA-P03</x:v>
      </x:c>
      <x:c r="B21" s="2" t="str">
        <x:v>AVAILABLE</x:v>
      </x:c>
      <x:c r="C21" s="20" t="n">
        <x:v>46309.333333333336</x:v>
      </x:c>
      <x:c r="D21" s="20" t="n">
        <x:v>46309.5</x:v>
      </x:c>
      <x:c r="E21" s="2" t="n">
        <x:v>1</x:v>
      </x:c>
      <x:c r="F21" s="2" t="str">
        <x:v>测试设定</x:v>
      </x:c>
      <x:c r="G21" s="2" t="str">
        <x:v>测试日历；12:00–13:00不提供可用窗口</x:v>
      </x:c>
    </x:row>
    <x:row r="22" ht="28" customHeight="1">
      <x:c r="A22" s="2" t="str">
        <x:v>TEST-PCBA-P03</x:v>
      </x:c>
      <x:c r="B22" s="2" t="str">
        <x:v>AVAILABLE</x:v>
      </x:c>
      <x:c r="C22" s="20" t="n">
        <x:v>46309.541666666664</x:v>
      </x:c>
      <x:c r="D22" s="20" t="n">
        <x:v>46309.708333333336</x:v>
      </x:c>
      <x:c r="E22" s="2" t="n">
        <x:v>1</x:v>
      </x:c>
      <x:c r="F22" s="2" t="str">
        <x:v>测试设定</x:v>
      </x:c>
      <x:c r="G22" s="2" t="str">
        <x:v>测试日历；12:00–13:00不提供可用窗口</x:v>
      </x:c>
    </x:row>
    <x:row r="23" ht="28" customHeight="1">
      <x:c r="A23" s="2" t="str">
        <x:v>TEST-PCBA-P04</x:v>
      </x:c>
      <x:c r="B23" s="2" t="str">
        <x:v>AVAILABLE</x:v>
      </x:c>
      <x:c r="C23" s="20" t="n">
        <x:v>46307.333333333336</x:v>
      </x:c>
      <x:c r="D23" s="20" t="n">
        <x:v>46307.5</x:v>
      </x:c>
      <x:c r="E23" s="2" t="n">
        <x:v>1</x:v>
      </x:c>
      <x:c r="F23" s="2" t="str">
        <x:v>测试设定</x:v>
      </x:c>
      <x:c r="G23" s="2" t="str">
        <x:v>测试日历；12:00–13:00不提供可用窗口</x:v>
      </x:c>
    </x:row>
    <x:row r="24" ht="28" customHeight="1">
      <x:c r="A24" s="2" t="str">
        <x:v>TEST-PCBA-P04</x:v>
      </x:c>
      <x:c r="B24" s="2" t="str">
        <x:v>AVAILABLE</x:v>
      </x:c>
      <x:c r="C24" s="20" t="n">
        <x:v>46307.541666666664</x:v>
      </x:c>
      <x:c r="D24" s="20" t="n">
        <x:v>46307.708333333336</x:v>
      </x:c>
      <x:c r="E24" s="2" t="n">
        <x:v>1</x:v>
      </x:c>
      <x:c r="F24" s="2" t="str">
        <x:v>测试设定</x:v>
      </x:c>
      <x:c r="G24" s="2" t="str">
        <x:v>测试日历；12:00–13:00不提供可用窗口</x:v>
      </x:c>
    </x:row>
    <x:row r="25" ht="28" customHeight="1">
      <x:c r="A25" s="2" t="str">
        <x:v>TEST-PCBA-P04</x:v>
      </x:c>
      <x:c r="B25" s="2" t="str">
        <x:v>AVAILABLE</x:v>
      </x:c>
      <x:c r="C25" s="20" t="n">
        <x:v>46308.333333333336</x:v>
      </x:c>
      <x:c r="D25" s="20" t="n">
        <x:v>46308.5</x:v>
      </x:c>
      <x:c r="E25" s="2" t="n">
        <x:v>1</x:v>
      </x:c>
      <x:c r="F25" s="2" t="str">
        <x:v>测试设定</x:v>
      </x:c>
      <x:c r="G25" s="2" t="str">
        <x:v>测试日历；12:00–13:00不提供可用窗口</x:v>
      </x:c>
    </x:row>
    <x:row r="26" ht="28" customHeight="1">
      <x:c r="A26" s="2" t="str">
        <x:v>TEST-PCBA-P04</x:v>
      </x:c>
      <x:c r="B26" s="2" t="str">
        <x:v>AVAILABLE</x:v>
      </x:c>
      <x:c r="C26" s="20" t="n">
        <x:v>46308.541666666664</x:v>
      </x:c>
      <x:c r="D26" s="20" t="n">
        <x:v>46308.708333333336</x:v>
      </x:c>
      <x:c r="E26" s="2" t="n">
        <x:v>1</x:v>
      </x:c>
      <x:c r="F26" s="2" t="str">
        <x:v>测试设定</x:v>
      </x:c>
      <x:c r="G26" s="2" t="str">
        <x:v>测试日历；12:00–13:00不提供可用窗口</x:v>
      </x:c>
    </x:row>
    <x:row r="27" ht="28" customHeight="1">
      <x:c r="A27" s="2" t="str">
        <x:v>TEST-PCBA-P04</x:v>
      </x:c>
      <x:c r="B27" s="2" t="str">
        <x:v>AVAILABLE</x:v>
      </x:c>
      <x:c r="C27" s="20" t="n">
        <x:v>46309.333333333336</x:v>
      </x:c>
      <x:c r="D27" s="20" t="n">
        <x:v>46309.5</x:v>
      </x:c>
      <x:c r="E27" s="2" t="n">
        <x:v>1</x:v>
      </x:c>
      <x:c r="F27" s="2" t="str">
        <x:v>测试设定</x:v>
      </x:c>
      <x:c r="G27" s="2" t="str">
        <x:v>测试日历；12:00–13:00不提供可用窗口</x:v>
      </x:c>
    </x:row>
    <x:row r="28" ht="28" customHeight="1">
      <x:c r="A28" s="2" t="str">
        <x:v>TEST-PCBA-P04</x:v>
      </x:c>
      <x:c r="B28" s="2" t="str">
        <x:v>AVAILABLE</x:v>
      </x:c>
      <x:c r="C28" s="20" t="n">
        <x:v>46309.541666666664</x:v>
      </x:c>
      <x:c r="D28" s="20" t="n">
        <x:v>46309.708333333336</x:v>
      </x:c>
      <x:c r="E28" s="2" t="n">
        <x:v>1</x:v>
      </x:c>
      <x:c r="F28" s="2" t="str">
        <x:v>测试设定</x:v>
      </x:c>
      <x:c r="G28" s="2" t="str">
        <x:v>测试日历；12:00–13:00不提供可用窗口</x:v>
      </x:c>
    </x:row>
    <x:row r="29" ht="28" customHeight="1">
      <x:c r="A29" s="2" t="str">
        <x:v>TEST-PCBA-P05</x:v>
      </x:c>
      <x:c r="B29" s="2" t="str">
        <x:v>AVAILABLE</x:v>
      </x:c>
      <x:c r="C29" s="20" t="n">
        <x:v>46307.333333333336</x:v>
      </x:c>
      <x:c r="D29" s="20" t="n">
        <x:v>46307.5</x:v>
      </x:c>
      <x:c r="E29" s="2" t="n">
        <x:v>1</x:v>
      </x:c>
      <x:c r="F29" s="2" t="str">
        <x:v>测试设定</x:v>
      </x:c>
      <x:c r="G29" s="2" t="str">
        <x:v>测试日历；12:00–13:00不提供可用窗口</x:v>
      </x:c>
    </x:row>
    <x:row r="30" ht="28" customHeight="1">
      <x:c r="A30" s="2" t="str">
        <x:v>TEST-PCBA-P05</x:v>
      </x:c>
      <x:c r="B30" s="2" t="str">
        <x:v>AVAILABLE</x:v>
      </x:c>
      <x:c r="C30" s="20" t="n">
        <x:v>46307.541666666664</x:v>
      </x:c>
      <x:c r="D30" s="20" t="n">
        <x:v>46307.708333333336</x:v>
      </x:c>
      <x:c r="E30" s="2" t="n">
        <x:v>1</x:v>
      </x:c>
      <x:c r="F30" s="2" t="str">
        <x:v>测试设定</x:v>
      </x:c>
      <x:c r="G30" s="2" t="str">
        <x:v>测试日历；12:00–13:00不提供可用窗口</x:v>
      </x:c>
    </x:row>
    <x:row r="31" ht="28" customHeight="1">
      <x:c r="A31" s="2" t="str">
        <x:v>TEST-PCBA-P05</x:v>
      </x:c>
      <x:c r="B31" s="2" t="str">
        <x:v>AVAILABLE</x:v>
      </x:c>
      <x:c r="C31" s="20" t="n">
        <x:v>46308.333333333336</x:v>
      </x:c>
      <x:c r="D31" s="20" t="n">
        <x:v>46308.5</x:v>
      </x:c>
      <x:c r="E31" s="2" t="n">
        <x:v>1</x:v>
      </x:c>
      <x:c r="F31" s="2" t="str">
        <x:v>测试设定</x:v>
      </x:c>
      <x:c r="G31" s="2" t="str">
        <x:v>测试日历；12:00–13:00不提供可用窗口</x:v>
      </x:c>
    </x:row>
    <x:row r="32" ht="28" customHeight="1">
      <x:c r="A32" s="2" t="str">
        <x:v>TEST-PCBA-P05</x:v>
      </x:c>
      <x:c r="B32" s="2" t="str">
        <x:v>AVAILABLE</x:v>
      </x:c>
      <x:c r="C32" s="20" t="n">
        <x:v>46308.541666666664</x:v>
      </x:c>
      <x:c r="D32" s="20" t="n">
        <x:v>46308.708333333336</x:v>
      </x:c>
      <x:c r="E32" s="2" t="n">
        <x:v>1</x:v>
      </x:c>
      <x:c r="F32" s="2" t="str">
        <x:v>测试设定</x:v>
      </x:c>
      <x:c r="G32" s="2" t="str">
        <x:v>测试日历；12:00–13:00不提供可用窗口</x:v>
      </x:c>
    </x:row>
    <x:row r="33" ht="28" customHeight="1">
      <x:c r="A33" s="2" t="str">
        <x:v>TEST-PCBA-P05</x:v>
      </x:c>
      <x:c r="B33" s="2" t="str">
        <x:v>AVAILABLE</x:v>
      </x:c>
      <x:c r="C33" s="20" t="n">
        <x:v>46309.333333333336</x:v>
      </x:c>
      <x:c r="D33" s="20" t="n">
        <x:v>46309.5</x:v>
      </x:c>
      <x:c r="E33" s="2" t="n">
        <x:v>1</x:v>
      </x:c>
      <x:c r="F33" s="2" t="str">
        <x:v>测试设定</x:v>
      </x:c>
      <x:c r="G33" s="2" t="str">
        <x:v>测试日历；12:00–13:00不提供可用窗口</x:v>
      </x:c>
    </x:row>
    <x:row r="34" ht="28" customHeight="1">
      <x:c r="A34" s="2" t="str">
        <x:v>TEST-PCBA-P05</x:v>
      </x:c>
      <x:c r="B34" s="2" t="str">
        <x:v>AVAILABLE</x:v>
      </x:c>
      <x:c r="C34" s="20" t="n">
        <x:v>46309.541666666664</x:v>
      </x:c>
      <x:c r="D34" s="20" t="n">
        <x:v>46309.708333333336</x:v>
      </x:c>
      <x:c r="E34" s="2" t="n">
        <x:v>1</x:v>
      </x:c>
      <x:c r="F34" s="2" t="str">
        <x:v>测试设定</x:v>
      </x:c>
      <x:c r="G34" s="2" t="str">
        <x:v>测试日历；12:00–13:00不提供可用窗口</x:v>
      </x:c>
    </x:row>
    <x:row r="35" ht="28" customHeight="1">
      <x:c r="A35" s="2" t="str">
        <x:v>TEST-PCBA-P06</x:v>
      </x:c>
      <x:c r="B35" s="2" t="str">
        <x:v>AVAILABLE</x:v>
      </x:c>
      <x:c r="C35" s="20" t="n">
        <x:v>46307.333333333336</x:v>
      </x:c>
      <x:c r="D35" s="20" t="n">
        <x:v>46307.5</x:v>
      </x:c>
      <x:c r="E35" s="2" t="n">
        <x:v>1</x:v>
      </x:c>
      <x:c r="F35" s="2" t="str">
        <x:v>测试设定</x:v>
      </x:c>
      <x:c r="G35" s="2" t="str">
        <x:v>测试日历；12:00–13:00不提供可用窗口</x:v>
      </x:c>
    </x:row>
    <x:row r="36" ht="28" customHeight="1">
      <x:c r="A36" s="2" t="str">
        <x:v>TEST-PCBA-P06</x:v>
      </x:c>
      <x:c r="B36" s="2" t="str">
        <x:v>AVAILABLE</x:v>
      </x:c>
      <x:c r="C36" s="20" t="n">
        <x:v>46307.541666666664</x:v>
      </x:c>
      <x:c r="D36" s="20" t="n">
        <x:v>46307.708333333336</x:v>
      </x:c>
      <x:c r="E36" s="2" t="n">
        <x:v>1</x:v>
      </x:c>
      <x:c r="F36" s="2" t="str">
        <x:v>测试设定</x:v>
      </x:c>
      <x:c r="G36" s="2" t="str">
        <x:v>测试日历；12:00–13:00不提供可用窗口</x:v>
      </x:c>
    </x:row>
    <x:row r="37" ht="28" customHeight="1">
      <x:c r="A37" s="2" t="str">
        <x:v>TEST-PCBA-P06</x:v>
      </x:c>
      <x:c r="B37" s="2" t="str">
        <x:v>AVAILABLE</x:v>
      </x:c>
      <x:c r="C37" s="20" t="n">
        <x:v>46308.333333333336</x:v>
      </x:c>
      <x:c r="D37" s="20" t="n">
        <x:v>46308.5</x:v>
      </x:c>
      <x:c r="E37" s="2" t="n">
        <x:v>1</x:v>
      </x:c>
      <x:c r="F37" s="2" t="str">
        <x:v>测试设定</x:v>
      </x:c>
      <x:c r="G37" s="2" t="str">
        <x:v>测试日历；12:00–13:00不提供可用窗口</x:v>
      </x:c>
    </x:row>
    <x:row r="38" ht="28" customHeight="1">
      <x:c r="A38" s="2" t="str">
        <x:v>TEST-PCBA-P06</x:v>
      </x:c>
      <x:c r="B38" s="2" t="str">
        <x:v>AVAILABLE</x:v>
      </x:c>
      <x:c r="C38" s="20" t="n">
        <x:v>46308.541666666664</x:v>
      </x:c>
      <x:c r="D38" s="20" t="n">
        <x:v>46308.708333333336</x:v>
      </x:c>
      <x:c r="E38" s="2" t="n">
        <x:v>1</x:v>
      </x:c>
      <x:c r="F38" s="2" t="str">
        <x:v>测试设定</x:v>
      </x:c>
      <x:c r="G38" s="2" t="str">
        <x:v>测试日历；12:00–13:00不提供可用窗口</x:v>
      </x:c>
    </x:row>
    <x:row r="39" ht="28" customHeight="1">
      <x:c r="A39" s="2" t="str">
        <x:v>TEST-PCBA-P06</x:v>
      </x:c>
      <x:c r="B39" s="2" t="str">
        <x:v>AVAILABLE</x:v>
      </x:c>
      <x:c r="C39" s="20" t="n">
        <x:v>46309.333333333336</x:v>
      </x:c>
      <x:c r="D39" s="20" t="n">
        <x:v>46309.5</x:v>
      </x:c>
      <x:c r="E39" s="2" t="n">
        <x:v>1</x:v>
      </x:c>
      <x:c r="F39" s="2" t="str">
        <x:v>测试设定</x:v>
      </x:c>
      <x:c r="G39" s="2" t="str">
        <x:v>测试日历；12:00–13:00不提供可用窗口</x:v>
      </x:c>
    </x:row>
    <x:row r="40" ht="28" customHeight="1">
      <x:c r="A40" s="2" t="str">
        <x:v>TEST-PCBA-P06</x:v>
      </x:c>
      <x:c r="B40" s="2" t="str">
        <x:v>AVAILABLE</x:v>
      </x:c>
      <x:c r="C40" s="20" t="n">
        <x:v>46309.541666666664</x:v>
      </x:c>
      <x:c r="D40" s="20" t="n">
        <x:v>46309.708333333336</x:v>
      </x:c>
      <x:c r="E40" s="2" t="n">
        <x:v>1</x:v>
      </x:c>
      <x:c r="F40" s="2" t="str">
        <x:v>测试设定</x:v>
      </x:c>
      <x:c r="G40" s="2" t="str">
        <x:v>测试日历；12:00–13:00不提供可用窗口</x:v>
      </x:c>
    </x:row>
    <x:row r="41" ht="28" customHeight="1">
      <x:c r="A41" s="2" t="str">
        <x:v>TEST-PCBA-M-W01</x:v>
      </x:c>
      <x:c r="B41" s="2" t="str">
        <x:v>AVAILABLE</x:v>
      </x:c>
      <x:c r="C41" s="20" t="n">
        <x:v>46307.333333333336</x:v>
      </x:c>
      <x:c r="D41" s="20" t="n">
        <x:v>46307.5</x:v>
      </x:c>
      <x:c r="E41" s="2" t="n">
        <x:v>1</x:v>
      </x:c>
      <x:c r="F41" s="2" t="str">
        <x:v>测试设定</x:v>
      </x:c>
      <x:c r="G41" s="2" t="str">
        <x:v>测试日历；12:00–13:00不提供可用窗口</x:v>
      </x:c>
    </x:row>
    <x:row r="42" ht="28" customHeight="1">
      <x:c r="A42" s="2" t="str">
        <x:v>TEST-PCBA-M-W01</x:v>
      </x:c>
      <x:c r="B42" s="2" t="str">
        <x:v>AVAILABLE</x:v>
      </x:c>
      <x:c r="C42" s="20" t="n">
        <x:v>46307.541666666664</x:v>
      </x:c>
      <x:c r="D42" s="20" t="n">
        <x:v>46307.708333333336</x:v>
      </x:c>
      <x:c r="E42" s="2" t="n">
        <x:v>1</x:v>
      </x:c>
      <x:c r="F42" s="2" t="str">
        <x:v>测试设定</x:v>
      </x:c>
      <x:c r="G42" s="2" t="str">
        <x:v>测试日历；12:00–13:00不提供可用窗口</x:v>
      </x:c>
    </x:row>
    <x:row r="43" ht="28" customHeight="1">
      <x:c r="A43" s="2" t="str">
        <x:v>TEST-PCBA-M-W01</x:v>
      </x:c>
      <x:c r="B43" s="2" t="str">
        <x:v>AVAILABLE</x:v>
      </x:c>
      <x:c r="C43" s="20" t="n">
        <x:v>46308.333333333336</x:v>
      </x:c>
      <x:c r="D43" s="20" t="n">
        <x:v>46308.5</x:v>
      </x:c>
      <x:c r="E43" s="2" t="n">
        <x:v>1</x:v>
      </x:c>
      <x:c r="F43" s="2" t="str">
        <x:v>测试设定</x:v>
      </x:c>
      <x:c r="G43" s="2" t="str">
        <x:v>测试日历；12:00–13:00不提供可用窗口</x:v>
      </x:c>
    </x:row>
    <x:row r="44" ht="28" customHeight="1">
      <x:c r="A44" s="2" t="str">
        <x:v>TEST-PCBA-M-W01</x:v>
      </x:c>
      <x:c r="B44" s="2" t="str">
        <x:v>AVAILABLE</x:v>
      </x:c>
      <x:c r="C44" s="20" t="n">
        <x:v>46308.541666666664</x:v>
      </x:c>
      <x:c r="D44" s="20" t="n">
        <x:v>46308.708333333336</x:v>
      </x:c>
      <x:c r="E44" s="2" t="n">
        <x:v>1</x:v>
      </x:c>
      <x:c r="F44" s="2" t="str">
        <x:v>测试设定</x:v>
      </x:c>
      <x:c r="G44" s="2" t="str">
        <x:v>测试日历；12:00–13:00不提供可用窗口</x:v>
      </x:c>
    </x:row>
    <x:row r="45" ht="28" customHeight="1">
      <x:c r="A45" s="2" t="str">
        <x:v>TEST-PCBA-M-W01</x:v>
      </x:c>
      <x:c r="B45" s="2" t="str">
        <x:v>AVAILABLE</x:v>
      </x:c>
      <x:c r="C45" s="20" t="n">
        <x:v>46309.333333333336</x:v>
      </x:c>
      <x:c r="D45" s="20" t="n">
        <x:v>46309.5</x:v>
      </x:c>
      <x:c r="E45" s="2" t="n">
        <x:v>1</x:v>
      </x:c>
      <x:c r="F45" s="2" t="str">
        <x:v>测试设定</x:v>
      </x:c>
      <x:c r="G45" s="2" t="str">
        <x:v>测试日历；12:00–13:00不提供可用窗口</x:v>
      </x:c>
    </x:row>
    <x:row r="46" ht="28" customHeight="1">
      <x:c r="A46" s="2" t="str">
        <x:v>TEST-PCBA-M-W01</x:v>
      </x:c>
      <x:c r="B46" s="2" t="str">
        <x:v>AVAILABLE</x:v>
      </x:c>
      <x:c r="C46" s="20" t="n">
        <x:v>46309.541666666664</x:v>
      </x:c>
      <x:c r="D46" s="20" t="n">
        <x:v>46309.708333333336</x:v>
      </x:c>
      <x:c r="E46" s="2" t="n">
        <x:v>1</x:v>
      </x:c>
      <x:c r="F46" s="2" t="str">
        <x:v>测试设定</x:v>
      </x:c>
      <x:c r="G46" s="2" t="str">
        <x:v>测试日历；12:00–13:00不提供可用窗口</x:v>
      </x:c>
    </x:row>
    <x:row r="47" ht="28" customHeight="1">
      <x:c r="A47" s="2" t="str">
        <x:v>TEST-PCBA-M-W02</x:v>
      </x:c>
      <x:c r="B47" s="2" t="str">
        <x:v>AVAILABLE</x:v>
      </x:c>
      <x:c r="C47" s="20" t="n">
        <x:v>46307.333333333336</x:v>
      </x:c>
      <x:c r="D47" s="20" t="n">
        <x:v>46307.5</x:v>
      </x:c>
      <x:c r="E47" s="2" t="n">
        <x:v>1</x:v>
      </x:c>
      <x:c r="F47" s="2" t="str">
        <x:v>测试设定</x:v>
      </x:c>
      <x:c r="G47" s="2" t="str">
        <x:v>测试日历；12:00–13:00不提供可用窗口</x:v>
      </x:c>
    </x:row>
    <x:row r="48" ht="28" customHeight="1">
      <x:c r="A48" s="2" t="str">
        <x:v>TEST-PCBA-M-W02</x:v>
      </x:c>
      <x:c r="B48" s="2" t="str">
        <x:v>AVAILABLE</x:v>
      </x:c>
      <x:c r="C48" s="20" t="n">
        <x:v>46307.541666666664</x:v>
      </x:c>
      <x:c r="D48" s="20" t="n">
        <x:v>46307.708333333336</x:v>
      </x:c>
      <x:c r="E48" s="2" t="n">
        <x:v>1</x:v>
      </x:c>
      <x:c r="F48" s="2" t="str">
        <x:v>测试设定</x:v>
      </x:c>
      <x:c r="G48" s="2" t="str">
        <x:v>测试日历；12:00–13:00不提供可用窗口</x:v>
      </x:c>
    </x:row>
    <x:row r="49" ht="28" customHeight="1">
      <x:c r="A49" s="2" t="str">
        <x:v>TEST-PCBA-M-W02</x:v>
      </x:c>
      <x:c r="B49" s="2" t="str">
        <x:v>AVAILABLE</x:v>
      </x:c>
      <x:c r="C49" s="20" t="n">
        <x:v>46308.333333333336</x:v>
      </x:c>
      <x:c r="D49" s="20" t="n">
        <x:v>46308.5</x:v>
      </x:c>
      <x:c r="E49" s="2" t="n">
        <x:v>1</x:v>
      </x:c>
      <x:c r="F49" s="2" t="str">
        <x:v>测试设定</x:v>
      </x:c>
      <x:c r="G49" s="2" t="str">
        <x:v>测试日历；12:00–13:00不提供可用窗口</x:v>
      </x:c>
    </x:row>
    <x:row r="50" ht="28" customHeight="1">
      <x:c r="A50" s="2" t="str">
        <x:v>TEST-PCBA-M-W02</x:v>
      </x:c>
      <x:c r="B50" s="2" t="str">
        <x:v>AVAILABLE</x:v>
      </x:c>
      <x:c r="C50" s="20" t="n">
        <x:v>46308.541666666664</x:v>
      </x:c>
      <x:c r="D50" s="20" t="n">
        <x:v>46308.708333333336</x:v>
      </x:c>
      <x:c r="E50" s="2" t="n">
        <x:v>1</x:v>
      </x:c>
      <x:c r="F50" s="2" t="str">
        <x:v>测试设定</x:v>
      </x:c>
      <x:c r="G50" s="2" t="str">
        <x:v>测试日历；12:00–13:00不提供可用窗口</x:v>
      </x:c>
    </x:row>
    <x:row r="51" ht="28" customHeight="1">
      <x:c r="A51" s="2" t="str">
        <x:v>TEST-PCBA-M-W02</x:v>
      </x:c>
      <x:c r="B51" s="2" t="str">
        <x:v>AVAILABLE</x:v>
      </x:c>
      <x:c r="C51" s="20" t="n">
        <x:v>46309.333333333336</x:v>
      </x:c>
      <x:c r="D51" s="20" t="n">
        <x:v>46309.5</x:v>
      </x:c>
      <x:c r="E51" s="2" t="n">
        <x:v>1</x:v>
      </x:c>
      <x:c r="F51" s="2" t="str">
        <x:v>测试设定</x:v>
      </x:c>
      <x:c r="G51" s="2" t="str">
        <x:v>测试日历；12:00–13:00不提供可用窗口</x:v>
      </x:c>
    </x:row>
    <x:row r="52" ht="28" customHeight="1">
      <x:c r="A52" s="2" t="str">
        <x:v>TEST-PCBA-M-W02</x:v>
      </x:c>
      <x:c r="B52" s="2" t="str">
        <x:v>AVAILABLE</x:v>
      </x:c>
      <x:c r="C52" s="20" t="n">
        <x:v>46309.541666666664</x:v>
      </x:c>
      <x:c r="D52" s="20" t="n">
        <x:v>46309.708333333336</x:v>
      </x:c>
      <x:c r="E52" s="2" t="n">
        <x:v>1</x:v>
      </x:c>
      <x:c r="F52" s="2" t="str">
        <x:v>测试设定</x:v>
      </x:c>
      <x:c r="G52" s="2" t="str">
        <x:v>测试日历；12:00–13:00不提供可用窗口</x:v>
      </x:c>
    </x:row>
    <x:row r="53" ht="28" customHeight="1">
      <x:c r="A53" s="2" t="str">
        <x:v>TEST-PCBA-M-FL01</x:v>
      </x:c>
      <x:c r="B53" s="2" t="str">
        <x:v>AVAILABLE</x:v>
      </x:c>
      <x:c r="C53" s="20" t="n">
        <x:v>46307.333333333336</x:v>
      </x:c>
      <x:c r="D53" s="20" t="n">
        <x:v>46307.5</x:v>
      </x:c>
      <x:c r="E53" s="2" t="n">
        <x:v>1</x:v>
      </x:c>
      <x:c r="F53" s="2" t="str">
        <x:v>测试设定</x:v>
      </x:c>
      <x:c r="G53" s="2" t="str">
        <x:v>测试日历；12:00–13:00不提供可用窗口</x:v>
      </x:c>
    </x:row>
    <x:row r="54" ht="28" customHeight="1">
      <x:c r="A54" s="2" t="str">
        <x:v>TEST-PCBA-M-FL01</x:v>
      </x:c>
      <x:c r="B54" s="2" t="str">
        <x:v>AVAILABLE</x:v>
      </x:c>
      <x:c r="C54" s="20" t="n">
        <x:v>46307.541666666664</x:v>
      </x:c>
      <x:c r="D54" s="20" t="n">
        <x:v>46307.708333333336</x:v>
      </x:c>
      <x:c r="E54" s="2" t="n">
        <x:v>1</x:v>
      </x:c>
      <x:c r="F54" s="2" t="str">
        <x:v>测试设定</x:v>
      </x:c>
      <x:c r="G54" s="2" t="str">
        <x:v>测试日历；12:00–13:00不提供可用窗口</x:v>
      </x:c>
    </x:row>
    <x:row r="55" ht="28" customHeight="1">
      <x:c r="A55" s="2" t="str">
        <x:v>TEST-PCBA-M-FL01</x:v>
      </x:c>
      <x:c r="B55" s="2" t="str">
        <x:v>AVAILABLE</x:v>
      </x:c>
      <x:c r="C55" s="20" t="n">
        <x:v>46308.333333333336</x:v>
      </x:c>
      <x:c r="D55" s="20" t="n">
        <x:v>46308.5</x:v>
      </x:c>
      <x:c r="E55" s="2" t="n">
        <x:v>1</x:v>
      </x:c>
      <x:c r="F55" s="2" t="str">
        <x:v>测试设定</x:v>
      </x:c>
      <x:c r="G55" s="2" t="str">
        <x:v>测试日历；12:00–13:00不提供可用窗口</x:v>
      </x:c>
    </x:row>
    <x:row r="56" ht="28" customHeight="1">
      <x:c r="A56" s="2" t="str">
        <x:v>TEST-PCBA-M-FL01</x:v>
      </x:c>
      <x:c r="B56" s="2" t="str">
        <x:v>AVAILABLE</x:v>
      </x:c>
      <x:c r="C56" s="20" t="n">
        <x:v>46308.541666666664</x:v>
      </x:c>
      <x:c r="D56" s="20" t="n">
        <x:v>46308.708333333336</x:v>
      </x:c>
      <x:c r="E56" s="2" t="n">
        <x:v>1</x:v>
      </x:c>
      <x:c r="F56" s="2" t="str">
        <x:v>测试设定</x:v>
      </x:c>
      <x:c r="G56" s="2" t="str">
        <x:v>测试日历；12:00–13:00不提供可用窗口</x:v>
      </x:c>
    </x:row>
    <x:row r="57" ht="28" customHeight="1">
      <x:c r="A57" s="2" t="str">
        <x:v>TEST-PCBA-M-FL01</x:v>
      </x:c>
      <x:c r="B57" s="2" t="str">
        <x:v>AVAILABLE</x:v>
      </x:c>
      <x:c r="C57" s="20" t="n">
        <x:v>46309.333333333336</x:v>
      </x:c>
      <x:c r="D57" s="20" t="n">
        <x:v>46309.5</x:v>
      </x:c>
      <x:c r="E57" s="2" t="n">
        <x:v>1</x:v>
      </x:c>
      <x:c r="F57" s="2" t="str">
        <x:v>测试设定</x:v>
      </x:c>
      <x:c r="G57" s="2" t="str">
        <x:v>测试日历；12:00–13:00不提供可用窗口</x:v>
      </x:c>
    </x:row>
    <x:row r="58" ht="28" customHeight="1">
      <x:c r="A58" s="2" t="str">
        <x:v>TEST-PCBA-M-FL01</x:v>
      </x:c>
      <x:c r="B58" s="2" t="str">
        <x:v>AVAILABLE</x:v>
      </x:c>
      <x:c r="C58" s="20" t="n">
        <x:v>46309.541666666664</x:v>
      </x:c>
      <x:c r="D58" s="20" t="n">
        <x:v>46309.708333333336</x:v>
      </x:c>
      <x:c r="E58" s="2" t="n">
        <x:v>1</x:v>
      </x:c>
      <x:c r="F58" s="2" t="str">
        <x:v>测试设定</x:v>
      </x:c>
      <x:c r="G58" s="2" t="str">
        <x:v>测试日历；12:00–13:00不提供可用窗口</x:v>
      </x:c>
    </x:row>
    <x:row r="59" ht="28" customHeight="1">
      <x:c r="A59" s="2" t="str">
        <x:v>TEST-PCBA-M-FT01</x:v>
      </x:c>
      <x:c r="B59" s="2" t="str">
        <x:v>AVAILABLE</x:v>
      </x:c>
      <x:c r="C59" s="20" t="n">
        <x:v>46307.333333333336</x:v>
      </x:c>
      <x:c r="D59" s="20" t="n">
        <x:v>46307.5</x:v>
      </x:c>
      <x:c r="E59" s="2" t="n">
        <x:v>1</x:v>
      </x:c>
      <x:c r="F59" s="2" t="str">
        <x:v>测试设定</x:v>
      </x:c>
      <x:c r="G59" s="2" t="str">
        <x:v>测试日历；12:00–13:00不提供可用窗口</x:v>
      </x:c>
    </x:row>
    <x:row r="60" ht="28" customHeight="1">
      <x:c r="A60" s="2" t="str">
        <x:v>TEST-PCBA-M-FT01</x:v>
      </x:c>
      <x:c r="B60" s="2" t="str">
        <x:v>AVAILABLE</x:v>
      </x:c>
      <x:c r="C60" s="20" t="n">
        <x:v>46307.541666666664</x:v>
      </x:c>
      <x:c r="D60" s="20" t="n">
        <x:v>46307.708333333336</x:v>
      </x:c>
      <x:c r="E60" s="2" t="n">
        <x:v>1</x:v>
      </x:c>
      <x:c r="F60" s="2" t="str">
        <x:v>测试设定</x:v>
      </x:c>
      <x:c r="G60" s="2" t="str">
        <x:v>测试日历；12:00–13:00不提供可用窗口</x:v>
      </x:c>
    </x:row>
    <x:row r="61" ht="28" customHeight="1">
      <x:c r="A61" s="2" t="str">
        <x:v>TEST-PCBA-M-FT01</x:v>
      </x:c>
      <x:c r="B61" s="2" t="str">
        <x:v>AVAILABLE</x:v>
      </x:c>
      <x:c r="C61" s="20" t="n">
        <x:v>46308.333333333336</x:v>
      </x:c>
      <x:c r="D61" s="20" t="n">
        <x:v>46308.5</x:v>
      </x:c>
      <x:c r="E61" s="2" t="n">
        <x:v>1</x:v>
      </x:c>
      <x:c r="F61" s="2" t="str">
        <x:v>测试设定</x:v>
      </x:c>
      <x:c r="G61" s="2" t="str">
        <x:v>测试日历；12:00–13:00不提供可用窗口</x:v>
      </x:c>
    </x:row>
    <x:row r="62" ht="28" customHeight="1">
      <x:c r="A62" s="2" t="str">
        <x:v>TEST-PCBA-M-FT01</x:v>
      </x:c>
      <x:c r="B62" s="2" t="str">
        <x:v>AVAILABLE</x:v>
      </x:c>
      <x:c r="C62" s="20" t="n">
        <x:v>46308.541666666664</x:v>
      </x:c>
      <x:c r="D62" s="20" t="n">
        <x:v>46308.708333333336</x:v>
      </x:c>
      <x:c r="E62" s="2" t="n">
        <x:v>1</x:v>
      </x:c>
      <x:c r="F62" s="2" t="str">
        <x:v>测试设定</x:v>
      </x:c>
      <x:c r="G62" s="2" t="str">
        <x:v>测试日历；12:00–13:00不提供可用窗口</x:v>
      </x:c>
    </x:row>
    <x:row r="63" ht="28" customHeight="1">
      <x:c r="A63" s="2" t="str">
        <x:v>TEST-PCBA-M-FT01</x:v>
      </x:c>
      <x:c r="B63" s="2" t="str">
        <x:v>AVAILABLE</x:v>
      </x:c>
      <x:c r="C63" s="20" t="n">
        <x:v>46309.333333333336</x:v>
      </x:c>
      <x:c r="D63" s="20" t="n">
        <x:v>46309.5</x:v>
      </x:c>
      <x:c r="E63" s="2" t="n">
        <x:v>1</x:v>
      </x:c>
      <x:c r="F63" s="2" t="str">
        <x:v>测试设定</x:v>
      </x:c>
      <x:c r="G63" s="2" t="str">
        <x:v>测试日历；12:00–13:00不提供可用窗口</x:v>
      </x:c>
    </x:row>
    <x:row r="64" ht="28" customHeight="1">
      <x:c r="A64" s="2" t="str">
        <x:v>TEST-PCBA-M-FT01</x:v>
      </x:c>
      <x:c r="B64" s="2" t="str">
        <x:v>AVAILABLE</x:v>
      </x:c>
      <x:c r="C64" s="20" t="n">
        <x:v>46309.541666666664</x:v>
      </x:c>
      <x:c r="D64" s="20" t="n">
        <x:v>46309.708333333336</x:v>
      </x:c>
      <x:c r="E64" s="2" t="n">
        <x:v>1</x:v>
      </x:c>
      <x:c r="F64" s="2" t="str">
        <x:v>测试设定</x:v>
      </x:c>
      <x:c r="G64" s="2" t="str">
        <x:v>测试日历；12:00–13:00不提供可用窗口</x:v>
      </x:c>
    </x:row>
    <x:row r="65" ht="28" customHeight="1">
      <x:c r="A65" s="2" t="str">
        <x:v>TEST-PCBA-S-I01</x:v>
      </x:c>
      <x:c r="B65" s="2" t="str">
        <x:v>AVAILABLE</x:v>
      </x:c>
      <x:c r="C65" s="20" t="n">
        <x:v>46307.333333333336</x:v>
      </x:c>
      <x:c r="D65" s="20" t="n">
        <x:v>46307.5</x:v>
      </x:c>
      <x:c r="E65" s="2" t="n">
        <x:v>1</x:v>
      </x:c>
      <x:c r="F65" s="2" t="str">
        <x:v>测试设定</x:v>
      </x:c>
      <x:c r="G65" s="2" t="str">
        <x:v>测试日历；12:00–13:00不提供可用窗口</x:v>
      </x:c>
    </x:row>
    <x:row r="66" ht="28" customHeight="1">
      <x:c r="A66" s="2" t="str">
        <x:v>TEST-PCBA-S-I01</x:v>
      </x:c>
      <x:c r="B66" s="2" t="str">
        <x:v>AVAILABLE</x:v>
      </x:c>
      <x:c r="C66" s="20" t="n">
        <x:v>46307.541666666664</x:v>
      </x:c>
      <x:c r="D66" s="20" t="n">
        <x:v>46307.708333333336</x:v>
      </x:c>
      <x:c r="E66" s="2" t="n">
        <x:v>1</x:v>
      </x:c>
      <x:c r="F66" s="2" t="str">
        <x:v>测试设定</x:v>
      </x:c>
      <x:c r="G66" s="2" t="str">
        <x:v>测试日历；12:00–13:00不提供可用窗口</x:v>
      </x:c>
    </x:row>
    <x:row r="67" ht="28" customHeight="1">
      <x:c r="A67" s="2" t="str">
        <x:v>TEST-PCBA-S-I01</x:v>
      </x:c>
      <x:c r="B67" s="2" t="str">
        <x:v>AVAILABLE</x:v>
      </x:c>
      <x:c r="C67" s="20" t="n">
        <x:v>46308.333333333336</x:v>
      </x:c>
      <x:c r="D67" s="20" t="n">
        <x:v>46308.5</x:v>
      </x:c>
      <x:c r="E67" s="2" t="n">
        <x:v>1</x:v>
      </x:c>
      <x:c r="F67" s="2" t="str">
        <x:v>测试设定</x:v>
      </x:c>
      <x:c r="G67" s="2" t="str">
        <x:v>测试日历；12:00–13:00不提供可用窗口</x:v>
      </x:c>
    </x:row>
    <x:row r="68" ht="28" customHeight="1">
      <x:c r="A68" s="2" t="str">
        <x:v>TEST-PCBA-S-I01</x:v>
      </x:c>
      <x:c r="B68" s="2" t="str">
        <x:v>AVAILABLE</x:v>
      </x:c>
      <x:c r="C68" s="20" t="n">
        <x:v>46308.541666666664</x:v>
      </x:c>
      <x:c r="D68" s="20" t="n">
        <x:v>46308.708333333336</x:v>
      </x:c>
      <x:c r="E68" s="2" t="n">
        <x:v>1</x:v>
      </x:c>
      <x:c r="F68" s="2" t="str">
        <x:v>测试设定</x:v>
      </x:c>
      <x:c r="G68" s="2" t="str">
        <x:v>测试日历；12:00–13:00不提供可用窗口</x:v>
      </x:c>
    </x:row>
    <x:row r="69" ht="28" customHeight="1">
      <x:c r="A69" s="2" t="str">
        <x:v>TEST-PCBA-S-I01</x:v>
      </x:c>
      <x:c r="B69" s="2" t="str">
        <x:v>AVAILABLE</x:v>
      </x:c>
      <x:c r="C69" s="20" t="n">
        <x:v>46309.333333333336</x:v>
      </x:c>
      <x:c r="D69" s="20" t="n">
        <x:v>46309.5</x:v>
      </x:c>
      <x:c r="E69" s="2" t="n">
        <x:v>1</x:v>
      </x:c>
      <x:c r="F69" s="2" t="str">
        <x:v>测试设定</x:v>
      </x:c>
      <x:c r="G69" s="2" t="str">
        <x:v>测试日历；12:00–13:00不提供可用窗口</x:v>
      </x:c>
    </x:row>
    <x:row r="70" ht="28" customHeight="1">
      <x:c r="A70" s="2" t="str">
        <x:v>TEST-PCBA-S-I01</x:v>
      </x:c>
      <x:c r="B70" s="2" t="str">
        <x:v>AVAILABLE</x:v>
      </x:c>
      <x:c r="C70" s="20" t="n">
        <x:v>46309.541666666664</x:v>
      </x:c>
      <x:c r="D70" s="20" t="n">
        <x:v>46309.708333333336</x:v>
      </x:c>
      <x:c r="E70" s="2" t="n">
        <x:v>1</x:v>
      </x:c>
      <x:c r="F70" s="2" t="str">
        <x:v>测试设定</x:v>
      </x:c>
      <x:c r="G70" s="2" t="str">
        <x:v>测试日历；12:00–13:00不提供可用窗口</x:v>
      </x:c>
    </x:row>
    <x:row r="71" ht="28" customHeight="1">
      <x:c r="A71" s="2" t="str">
        <x:v>TEST-PCBA-S-P01</x:v>
      </x:c>
      <x:c r="B71" s="2" t="str">
        <x:v>AVAILABLE</x:v>
      </x:c>
      <x:c r="C71" s="20" t="n">
        <x:v>46307.333333333336</x:v>
      </x:c>
      <x:c r="D71" s="20" t="n">
        <x:v>46307.5</x:v>
      </x:c>
      <x:c r="E71" s="2" t="n">
        <x:v>1</x:v>
      </x:c>
      <x:c r="F71" s="2" t="str">
        <x:v>测试设定</x:v>
      </x:c>
      <x:c r="G71" s="2" t="str">
        <x:v>测试日历；12:00–13:00不提供可用窗口</x:v>
      </x:c>
    </x:row>
    <x:row r="72" ht="28" customHeight="1">
      <x:c r="A72" s="2" t="str">
        <x:v>TEST-PCBA-S-P01</x:v>
      </x:c>
      <x:c r="B72" s="2" t="str">
        <x:v>AVAILABLE</x:v>
      </x:c>
      <x:c r="C72" s="20" t="n">
        <x:v>46307.541666666664</x:v>
      </x:c>
      <x:c r="D72" s="20" t="n">
        <x:v>46307.708333333336</x:v>
      </x:c>
      <x:c r="E72" s="2" t="n">
        <x:v>1</x:v>
      </x:c>
      <x:c r="F72" s="2" t="str">
        <x:v>测试设定</x:v>
      </x:c>
      <x:c r="G72" s="2" t="str">
        <x:v>测试日历；12:00–13:00不提供可用窗口</x:v>
      </x:c>
    </x:row>
    <x:row r="73" ht="28" customHeight="1">
      <x:c r="A73" s="2" t="str">
        <x:v>TEST-PCBA-S-P01</x:v>
      </x:c>
      <x:c r="B73" s="2" t="str">
        <x:v>AVAILABLE</x:v>
      </x:c>
      <x:c r="C73" s="20" t="n">
        <x:v>46308.333333333336</x:v>
      </x:c>
      <x:c r="D73" s="20" t="n">
        <x:v>46308.5</x:v>
      </x:c>
      <x:c r="E73" s="2" t="n">
        <x:v>1</x:v>
      </x:c>
      <x:c r="F73" s="2" t="str">
        <x:v>测试设定</x:v>
      </x:c>
      <x:c r="G73" s="2" t="str">
        <x:v>测试日历；12:00–13:00不提供可用窗口</x:v>
      </x:c>
    </x:row>
    <x:row r="74" ht="28" customHeight="1">
      <x:c r="A74" s="2" t="str">
        <x:v>TEST-PCBA-S-P01</x:v>
      </x:c>
      <x:c r="B74" s="2" t="str">
        <x:v>AVAILABLE</x:v>
      </x:c>
      <x:c r="C74" s="20" t="n">
        <x:v>46308.541666666664</x:v>
      </x:c>
      <x:c r="D74" s="20" t="n">
        <x:v>46308.708333333336</x:v>
      </x:c>
      <x:c r="E74" s="2" t="n">
        <x:v>1</x:v>
      </x:c>
      <x:c r="F74" s="2" t="str">
        <x:v>测试设定</x:v>
      </x:c>
      <x:c r="G74" s="2" t="str">
        <x:v>测试日历；12:00–13:00不提供可用窗口</x:v>
      </x:c>
    </x:row>
    <x:row r="75" ht="28" customHeight="1">
      <x:c r="A75" s="2" t="str">
        <x:v>TEST-PCBA-S-P01</x:v>
      </x:c>
      <x:c r="B75" s="2" t="str">
        <x:v>AVAILABLE</x:v>
      </x:c>
      <x:c r="C75" s="20" t="n">
        <x:v>46309.333333333336</x:v>
      </x:c>
      <x:c r="D75" s="20" t="n">
        <x:v>46309.5</x:v>
      </x:c>
      <x:c r="E75" s="2" t="n">
        <x:v>1</x:v>
      </x:c>
      <x:c r="F75" s="2" t="str">
        <x:v>测试设定</x:v>
      </x:c>
      <x:c r="G75" s="2" t="str">
        <x:v>测试日历；12:00–13:00不提供可用窗口</x:v>
      </x:c>
    </x:row>
    <x:row r="76" ht="28" customHeight="1">
      <x:c r="A76" s="2" t="str">
        <x:v>TEST-PCBA-S-P01</x:v>
      </x:c>
      <x:c r="B76" s="2" t="str">
        <x:v>AVAILABLE</x:v>
      </x:c>
      <x:c r="C76" s="20" t="n">
        <x:v>46309.541666666664</x:v>
      </x:c>
      <x:c r="D76" s="20" t="n">
        <x:v>46309.708333333336</x:v>
      </x:c>
      <x:c r="E76" s="2" t="n">
        <x:v>1</x:v>
      </x:c>
      <x:c r="F76" s="2" t="str">
        <x:v>测试设定</x:v>
      </x:c>
      <x:c r="G76" s="2" t="str">
        <x:v>测试日历；12:00–13:00不提供可用窗口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26" hidden="0" customWidth="1"/>
    <x:col min="4" max="4" width="14" hidden="0" customWidth="1"/>
    <x:col min="5" max="5" width="15" hidden="0" customWidth="1"/>
    <x:col min="6" max="6" width="15" hidden="0" customWidth="1"/>
    <x:col min="7" max="7" width="12" hidden="0" customWidth="1"/>
    <x:col min="8" max="8" width="25" hidden="0" customWidth="1"/>
    <x:col min="9" max="9" width="20" hidden="0" customWidth="1"/>
    <x:col min="10" max="10" width="11" hidden="0" customWidth="1"/>
    <x:col min="11" max="11" width="11" hidden="0" customWidth="1"/>
    <x:col min="12" max="12" width="3" hidden="0" customWidth="1"/>
    <x:col min="13" max="13" width="85" hidden="0" customWidth="1"/>
  </x:cols>
  <x:sheetData>
    <x:row r="2" ht="27" customHeight="1">
      <x:c r="A2" s="4" t="str">
        <x:v>工序参数：秒为单位，全部为测试设定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6" customHeight="1">
      <x:c r="A4" s="9" t="str">
        <x:v>工序编码</x:v>
      </x:c>
      <x:c r="B4" s="12" t="str">
        <x:v>工序</x:v>
      </x:c>
      <x:c r="C4" s="12" t="str">
        <x:v>产品编码</x:v>
      </x:c>
      <x:c r="D4" s="12" t="str">
        <x:v>准备秒数</x:v>
      </x:c>
      <x:c r="E4" s="12" t="str">
        <x:v>每件秒数</x:v>
      </x:c>
      <x:c r="F4" s="12" t="str">
        <x:v>人员技能</x:v>
      </x:c>
      <x:c r="G4" s="12" t="str">
        <x:v>最低等级</x:v>
      </x:c>
      <x:c r="H4" s="12" t="str">
        <x:v>设备中心</x:v>
      </x:c>
      <x:c r="I4" s="12" t="str">
        <x:v>模式</x:v>
      </x:c>
      <x:c r="J4" s="12" t="str">
        <x:v>质量门</x:v>
      </x:c>
      <x:c r="K4" s="12" t="str">
        <x:v>可中断</x:v>
      </x:c>
      <x:c r="L4" s="12" t="str"/>
      <x:c r="M4" s="17" t="str">
        <x:v>行业背景网址</x:v>
      </x:c>
    </x:row>
    <x:row r="5" ht="28" customHeight="1">
      <x:c r="A5" s="2" t="str">
        <x:v>TEST-PCBA-R3-WELD</x:v>
      </x:c>
      <x:c r="B5" s="2" t="str">
        <x:v>WELD</x:v>
      </x:c>
      <x:c r="C5" s="2" t="str">
        <x:v>TEST-PCBA-R3</x:v>
      </x:c>
      <x:c r="D5" s="23" t="n">
        <x:v>600</x:v>
      </x:c>
      <x:c r="E5" s="23" t="n">
        <x:v>60</x:v>
      </x:c>
      <x:c r="F5" s="2" t="str">
        <x:v>WELD</x:v>
      </x:c>
      <x:c r="G5" s="2" t="n">
        <x:v>2</x:v>
      </x:c>
      <x:c r="H5" s="2" t="str">
        <x:v>TEST-PCBA-WELD</x:v>
      </x:c>
      <x:c r="I5" s="2" t="str">
        <x:v>MAN_MACHINE</x:v>
      </x:c>
      <x:c r="J5" s="21" t="b">
        <x:v>0</x:v>
      </x:c>
      <x:c r="K5" s="21" t="b">
        <x:v>0</x:v>
      </x:c>
      <x:c r="L5" s="2" t="str"/>
      <x:c r="M5" s="18" t="str">
        <x:v>https://jlcpcb.com/help/article/smt-inspection-and-testing-capabilities</x:v>
      </x:c>
    </x:row>
    <x:row r="6" ht="28" customHeight="1">
      <x:c r="A6" s="2" t="str">
        <x:v>TEST-PCBA-R3-FLASH</x:v>
      </x:c>
      <x:c r="B6" s="2" t="str">
        <x:v>FLASH</x:v>
      </x:c>
      <x:c r="C6" s="2" t="str">
        <x:v>TEST-PCBA-R3</x:v>
      </x:c>
      <x:c r="D6" s="23" t="n">
        <x:v>300</x:v>
      </x:c>
      <x:c r="E6" s="23" t="n">
        <x:v>30</x:v>
      </x:c>
      <x:c r="F6" s="2" t="str">
        <x:v>FLASH</x:v>
      </x:c>
      <x:c r="G6" s="2" t="n">
        <x:v>1</x:v>
      </x:c>
      <x:c r="H6" s="2" t="str">
        <x:v>TEST-PCBA-FLASH</x:v>
      </x:c>
      <x:c r="I6" s="2" t="str">
        <x:v>MAN_MACHINE</x:v>
      </x:c>
      <x:c r="J6" s="21" t="b">
        <x:v>0</x:v>
      </x:c>
      <x:c r="K6" s="21" t="b">
        <x:v>0</x:v>
      </x:c>
      <x:c r="L6" s="2" t="str"/>
      <x:c r="M6" s="18" t="str">
        <x:v>https://jlcpcb.com/help/article/smt-inspection-and-testing-capabilities</x:v>
      </x:c>
    </x:row>
    <x:row r="7" ht="28" customHeight="1">
      <x:c r="A7" s="2" t="str">
        <x:v>TEST-PCBA-R3-FCT</x:v>
      </x:c>
      <x:c r="B7" s="2" t="str">
        <x:v>FCT</x:v>
      </x:c>
      <x:c r="C7" s="2" t="str">
        <x:v>TEST-PCBA-R3</x:v>
      </x:c>
      <x:c r="D7" s="23" t="n">
        <x:v>300</x:v>
      </x:c>
      <x:c r="E7" s="23" t="n">
        <x:v>90</x:v>
      </x:c>
      <x:c r="F7" s="2" t="str">
        <x:v>FCT</x:v>
      </x:c>
      <x:c r="G7" s="2" t="n">
        <x:v>2</x:v>
      </x:c>
      <x:c r="H7" s="2" t="str">
        <x:v>TEST-PCBA-FCT</x:v>
      </x:c>
      <x:c r="I7" s="2" t="str">
        <x:v>MAN_MACHINE</x:v>
      </x:c>
      <x:c r="J7" s="21" t="b">
        <x:v>1</x:v>
      </x:c>
      <x:c r="K7" s="21" t="b">
        <x:v>0</x:v>
      </x:c>
      <x:c r="L7" s="2" t="str"/>
      <x:c r="M7" s="18" t="str">
        <x:v>https://jlcpcb.com/help/article/smt-inspection-and-testing-capabilities</x:v>
      </x:c>
    </x:row>
    <x:row r="8" ht="28" customHeight="1">
      <x:c r="A8" s="2" t="str">
        <x:v>TEST-PCBA-R3-INSPECT</x:v>
      </x:c>
      <x:c r="B8" s="2" t="str">
        <x:v>INSPECT</x:v>
      </x:c>
      <x:c r="C8" s="2" t="str">
        <x:v>TEST-PCBA-R3</x:v>
      </x:c>
      <x:c r="D8" s="23" t="n">
        <x:v>0</x:v>
      </x:c>
      <x:c r="E8" s="23" t="n">
        <x:v>30</x:v>
      </x:c>
      <x:c r="F8" s="2" t="str">
        <x:v>INSPECT</x:v>
      </x:c>
      <x:c r="G8" s="2" t="n">
        <x:v>1</x:v>
      </x:c>
      <x:c r="H8" s="2" t="str">
        <x:v>TEST-PCBA-INSPECT</x:v>
      </x:c>
      <x:c r="I8" s="2" t="str">
        <x:v>MANUAL</x:v>
      </x:c>
      <x:c r="J8" s="21" t="b">
        <x:v>1</x:v>
      </x:c>
      <x:c r="K8" s="21" t="b">
        <x:v>0</x:v>
      </x:c>
      <x:c r="L8" s="2" t="str"/>
      <x:c r="M8" s="18" t="str">
        <x:v>https://jlcpcb.com/help/article/smt-inspection-and-testing-capabilities</x:v>
      </x:c>
    </x:row>
    <x:row r="9" ht="28" customHeight="1">
      <x:c r="A9" s="2" t="str">
        <x:v>TEST-PCBA-R3-PACK</x:v>
      </x:c>
      <x:c r="B9" s="2" t="str">
        <x:v>PACK</x:v>
      </x:c>
      <x:c r="C9" s="2" t="str">
        <x:v>TEST-PCBA-R3</x:v>
      </x:c>
      <x:c r="D9" s="23" t="n">
        <x:v>0</x:v>
      </x:c>
      <x:c r="E9" s="23" t="n">
        <x:v>30</x:v>
      </x:c>
      <x:c r="F9" s="2" t="str">
        <x:v>PACK</x:v>
      </x:c>
      <x:c r="G9" s="2" t="n">
        <x:v>1</x:v>
      </x:c>
      <x:c r="H9" s="2" t="str">
        <x:v>TEST-PCBA-PACK</x:v>
      </x:c>
      <x:c r="I9" s="2" t="str">
        <x:v>MANUAL</x:v>
      </x:c>
      <x:c r="J9" s="21" t="b">
        <x:v>0</x:v>
      </x:c>
      <x:c r="K9" s="21" t="b">
        <x:v>0</x:v>
      </x:c>
      <x:c r="L9" s="2" t="str"/>
      <x:c r="M9" s="18" t="str">
        <x:v>https://jlcpcb.com/help/article/smt-inspection-and-testing-capabilities</x:v>
      </x:c>
    </x:row>
    <x:row r="10" ht="28" customHeight="1">
      <x:c r="A10" s="2" t="str">
        <x:v>TEST-PCBA-NANO-WELD</x:v>
      </x:c>
      <x:c r="B10" s="2" t="str">
        <x:v>WELD</x:v>
      </x:c>
      <x:c r="C10" s="2" t="str">
        <x:v>TEST-PCBA-NANO</x:v>
      </x:c>
      <x:c r="D10" s="23" t="n">
        <x:v>600</x:v>
      </x:c>
      <x:c r="E10" s="23" t="n">
        <x:v>72</x:v>
      </x:c>
      <x:c r="F10" s="2" t="str">
        <x:v>WELD</x:v>
      </x:c>
      <x:c r="G10" s="2" t="n">
        <x:v>2</x:v>
      </x:c>
      <x:c r="H10" s="2" t="str">
        <x:v>TEST-PCBA-WELD</x:v>
      </x:c>
      <x:c r="I10" s="2" t="str">
        <x:v>MAN_MACHINE</x:v>
      </x:c>
      <x:c r="J10" s="21" t="b">
        <x:v>0</x:v>
      </x:c>
      <x:c r="K10" s="21" t="b">
        <x:v>0</x:v>
      </x:c>
      <x:c r="L10" s="2" t="str"/>
      <x:c r="M10" s="18" t="str">
        <x:v>https://jlcpcb.com/help/article/smt-inspection-and-testing-capabilities</x:v>
      </x:c>
    </x:row>
    <x:row r="11" ht="28" customHeight="1">
      <x:c r="A11" s="2" t="str">
        <x:v>TEST-PCBA-NANO-FLASH</x:v>
      </x:c>
      <x:c r="B11" s="2" t="str">
        <x:v>FLASH</x:v>
      </x:c>
      <x:c r="C11" s="2" t="str">
        <x:v>TEST-PCBA-NANO</x:v>
      </x:c>
      <x:c r="D11" s="23" t="n">
        <x:v>300</x:v>
      </x:c>
      <x:c r="E11" s="23" t="n">
        <x:v>36</x:v>
      </x:c>
      <x:c r="F11" s="2" t="str">
        <x:v>FLASH</x:v>
      </x:c>
      <x:c r="G11" s="2" t="n">
        <x:v>1</x:v>
      </x:c>
      <x:c r="H11" s="2" t="str">
        <x:v>TEST-PCBA-FLASH</x:v>
      </x:c>
      <x:c r="I11" s="2" t="str">
        <x:v>MAN_MACHINE</x:v>
      </x:c>
      <x:c r="J11" s="21" t="b">
        <x:v>0</x:v>
      </x:c>
      <x:c r="K11" s="21" t="b">
        <x:v>0</x:v>
      </x:c>
      <x:c r="L11" s="2" t="str"/>
      <x:c r="M11" s="18" t="str">
        <x:v>https://jlcpcb.com/help/article/smt-inspection-and-testing-capabilities</x:v>
      </x:c>
    </x:row>
    <x:row r="12" ht="28" customHeight="1">
      <x:c r="A12" s="2" t="str">
        <x:v>TEST-PCBA-NANO-FCT</x:v>
      </x:c>
      <x:c r="B12" s="2" t="str">
        <x:v>FCT</x:v>
      </x:c>
      <x:c r="C12" s="2" t="str">
        <x:v>TEST-PCBA-NANO</x:v>
      </x:c>
      <x:c r="D12" s="23" t="n">
        <x:v>300</x:v>
      </x:c>
      <x:c r="E12" s="23" t="n">
        <x:v>108</x:v>
      </x:c>
      <x:c r="F12" s="2" t="str">
        <x:v>FCT</x:v>
      </x:c>
      <x:c r="G12" s="2" t="n">
        <x:v>2</x:v>
      </x:c>
      <x:c r="H12" s="2" t="str">
        <x:v>TEST-PCBA-FCT</x:v>
      </x:c>
      <x:c r="I12" s="2" t="str">
        <x:v>MAN_MACHINE</x:v>
      </x:c>
      <x:c r="J12" s="21" t="b">
        <x:v>1</x:v>
      </x:c>
      <x:c r="K12" s="21" t="b">
        <x:v>0</x:v>
      </x:c>
      <x:c r="L12" s="2" t="str"/>
      <x:c r="M12" s="18" t="str">
        <x:v>https://jlcpcb.com/help/article/smt-inspection-and-testing-capabilities</x:v>
      </x:c>
    </x:row>
    <x:row r="13" ht="28" customHeight="1">
      <x:c r="A13" s="2" t="str">
        <x:v>TEST-PCBA-NANO-INSPECT</x:v>
      </x:c>
      <x:c r="B13" s="2" t="str">
        <x:v>INSPECT</x:v>
      </x:c>
      <x:c r="C13" s="2" t="str">
        <x:v>TEST-PCBA-NANO</x:v>
      </x:c>
      <x:c r="D13" s="23" t="n">
        <x:v>0</x:v>
      </x:c>
      <x:c r="E13" s="23" t="n">
        <x:v>36</x:v>
      </x:c>
      <x:c r="F13" s="2" t="str">
        <x:v>INSPECT</x:v>
      </x:c>
      <x:c r="G13" s="2" t="n">
        <x:v>1</x:v>
      </x:c>
      <x:c r="H13" s="2" t="str">
        <x:v>TEST-PCBA-INSPECT</x:v>
      </x:c>
      <x:c r="I13" s="2" t="str">
        <x:v>MANUAL</x:v>
      </x:c>
      <x:c r="J13" s="21" t="b">
        <x:v>1</x:v>
      </x:c>
      <x:c r="K13" s="21" t="b">
        <x:v>0</x:v>
      </x:c>
      <x:c r="L13" s="2" t="str"/>
      <x:c r="M13" s="18" t="str">
        <x:v>https://jlcpcb.com/help/article/smt-inspection-and-testing-capabilities</x:v>
      </x:c>
    </x:row>
    <x:row r="14" ht="28" customHeight="1">
      <x:c r="A14" s="2" t="str">
        <x:v>TEST-PCBA-NANO-PACK</x:v>
      </x:c>
      <x:c r="B14" s="2" t="str">
        <x:v>PACK</x:v>
      </x:c>
      <x:c r="C14" s="2" t="str">
        <x:v>TEST-PCBA-NANO</x:v>
      </x:c>
      <x:c r="D14" s="23" t="n">
        <x:v>0</x:v>
      </x:c>
      <x:c r="E14" s="23" t="n">
        <x:v>36</x:v>
      </x:c>
      <x:c r="F14" s="2" t="str">
        <x:v>PACK</x:v>
      </x:c>
      <x:c r="G14" s="2" t="n">
        <x:v>1</x:v>
      </x:c>
      <x:c r="H14" s="2" t="str">
        <x:v>TEST-PCBA-PACK</x:v>
      </x:c>
      <x:c r="I14" s="2" t="str">
        <x:v>MANUAL</x:v>
      </x:c>
      <x:c r="J14" s="21" t="b">
        <x:v>0</x:v>
      </x:c>
      <x:c r="K14" s="21" t="b">
        <x:v>0</x:v>
      </x:c>
      <x:c r="L14" s="2" t="str"/>
      <x:c r="M14" s="18" t="str">
        <x:v>https://jlcpcb.com/help/article/smt-inspection-and-testing-capabilities</x:v>
      </x:c>
    </x:row>
    <x:row r="15" ht="28" customHeight="1">
      <x:c r="A15" s="2" t="str">
        <x:v>TEST-PCBA-R4-WELD</x:v>
      </x:c>
      <x:c r="B15" s="2" t="str">
        <x:v>WELD</x:v>
      </x:c>
      <x:c r="C15" s="2" t="str">
        <x:v>TEST-PCBA-R4</x:v>
      </x:c>
      <x:c r="D15" s="23" t="n">
        <x:v>600</x:v>
      </x:c>
      <x:c r="E15" s="23" t="n">
        <x:v>66</x:v>
      </x:c>
      <x:c r="F15" s="2" t="str">
        <x:v>WELD</x:v>
      </x:c>
      <x:c r="G15" s="2" t="n">
        <x:v>2</x:v>
      </x:c>
      <x:c r="H15" s="2" t="str">
        <x:v>TEST-PCBA-WELD</x:v>
      </x:c>
      <x:c r="I15" s="2" t="str">
        <x:v>MAN_MACHINE</x:v>
      </x:c>
      <x:c r="J15" s="21" t="b">
        <x:v>0</x:v>
      </x:c>
      <x:c r="K15" s="21" t="b">
        <x:v>0</x:v>
      </x:c>
      <x:c r="L15" s="2" t="str"/>
      <x:c r="M15" s="18" t="str">
        <x:v>https://jlcpcb.com/help/article/smt-inspection-and-testing-capabilities</x:v>
      </x:c>
    </x:row>
    <x:row r="16" ht="28" customHeight="1">
      <x:c r="A16" s="2" t="str">
        <x:v>TEST-PCBA-R4-FLASH</x:v>
      </x:c>
      <x:c r="B16" s="2" t="str">
        <x:v>FLASH</x:v>
      </x:c>
      <x:c r="C16" s="2" t="str">
        <x:v>TEST-PCBA-R4</x:v>
      </x:c>
      <x:c r="D16" s="23" t="n">
        <x:v>300</x:v>
      </x:c>
      <x:c r="E16" s="23" t="n">
        <x:v>33</x:v>
      </x:c>
      <x:c r="F16" s="2" t="str">
        <x:v>FLASH</x:v>
      </x:c>
      <x:c r="G16" s="2" t="n">
        <x:v>1</x:v>
      </x:c>
      <x:c r="H16" s="2" t="str">
        <x:v>TEST-PCBA-FLASH</x:v>
      </x:c>
      <x:c r="I16" s="2" t="str">
        <x:v>MAN_MACHINE</x:v>
      </x:c>
      <x:c r="J16" s="21" t="b">
        <x:v>0</x:v>
      </x:c>
      <x:c r="K16" s="21" t="b">
        <x:v>0</x:v>
      </x:c>
      <x:c r="L16" s="2" t="str"/>
      <x:c r="M16" s="18" t="str">
        <x:v>https://jlcpcb.com/help/article/smt-inspection-and-testing-capabilities</x:v>
      </x:c>
    </x:row>
    <x:row r="17" ht="28" customHeight="1">
      <x:c r="A17" s="2" t="str">
        <x:v>TEST-PCBA-R4-FCT</x:v>
      </x:c>
      <x:c r="B17" s="2" t="str">
        <x:v>FCT</x:v>
      </x:c>
      <x:c r="C17" s="2" t="str">
        <x:v>TEST-PCBA-R4</x:v>
      </x:c>
      <x:c r="D17" s="23" t="n">
        <x:v>300</x:v>
      </x:c>
      <x:c r="E17" s="23" t="n">
        <x:v>99.00000000000001</x:v>
      </x:c>
      <x:c r="F17" s="2" t="str">
        <x:v>FCT</x:v>
      </x:c>
      <x:c r="G17" s="2" t="n">
        <x:v>2</x:v>
      </x:c>
      <x:c r="H17" s="2" t="str">
        <x:v>TEST-PCBA-FCT</x:v>
      </x:c>
      <x:c r="I17" s="2" t="str">
        <x:v>MAN_MACHINE</x:v>
      </x:c>
      <x:c r="J17" s="21" t="b">
        <x:v>1</x:v>
      </x:c>
      <x:c r="K17" s="21" t="b">
        <x:v>0</x:v>
      </x:c>
      <x:c r="L17" s="2" t="str"/>
      <x:c r="M17" s="18" t="str">
        <x:v>https://jlcpcb.com/help/article/smt-inspection-and-testing-capabilities</x:v>
      </x:c>
    </x:row>
    <x:row r="18" ht="28" customHeight="1">
      <x:c r="A18" s="2" t="str">
        <x:v>TEST-PCBA-R4-INSPECT</x:v>
      </x:c>
      <x:c r="B18" s="2" t="str">
        <x:v>INSPECT</x:v>
      </x:c>
      <x:c r="C18" s="2" t="str">
        <x:v>TEST-PCBA-R4</x:v>
      </x:c>
      <x:c r="D18" s="23" t="n">
        <x:v>0</x:v>
      </x:c>
      <x:c r="E18" s="23" t="n">
        <x:v>33</x:v>
      </x:c>
      <x:c r="F18" s="2" t="str">
        <x:v>INSPECT</x:v>
      </x:c>
      <x:c r="G18" s="2" t="n">
        <x:v>1</x:v>
      </x:c>
      <x:c r="H18" s="2" t="str">
        <x:v>TEST-PCBA-INSPECT</x:v>
      </x:c>
      <x:c r="I18" s="2" t="str">
        <x:v>MANUAL</x:v>
      </x:c>
      <x:c r="J18" s="21" t="b">
        <x:v>1</x:v>
      </x:c>
      <x:c r="K18" s="21" t="b">
        <x:v>0</x:v>
      </x:c>
      <x:c r="L18" s="2" t="str"/>
      <x:c r="M18" s="18" t="str">
        <x:v>https://jlcpcb.com/help/article/smt-inspection-and-testing-capabilities</x:v>
      </x:c>
    </x:row>
    <x:row r="19" ht="28" customHeight="1">
      <x:c r="A19" s="2" t="str">
        <x:v>TEST-PCBA-R4-PACK</x:v>
      </x:c>
      <x:c r="B19" s="2" t="str">
        <x:v>PACK</x:v>
      </x:c>
      <x:c r="C19" s="2" t="str">
        <x:v>TEST-PCBA-R4</x:v>
      </x:c>
      <x:c r="D19" s="23" t="n">
        <x:v>0</x:v>
      </x:c>
      <x:c r="E19" s="23" t="n">
        <x:v>33</x:v>
      </x:c>
      <x:c r="F19" s="2" t="str">
        <x:v>PACK</x:v>
      </x:c>
      <x:c r="G19" s="2" t="n">
        <x:v>1</x:v>
      </x:c>
      <x:c r="H19" s="2" t="str">
        <x:v>TEST-PCBA-PACK</x:v>
      </x:c>
      <x:c r="I19" s="2" t="str">
        <x:v>MANUAL</x:v>
      </x:c>
      <x:c r="J19" s="21" t="b">
        <x:v>0</x:v>
      </x:c>
      <x:c r="K19" s="21" t="b">
        <x:v>0</x:v>
      </x:c>
      <x:c r="L19" s="2" t="str"/>
      <x:c r="M19" s="18" t="str">
        <x:v>https://jlcpcb.com/help/article/smt-inspection-and-testing-capabilities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26" hidden="0" customWidth="1"/>
    <x:col min="4" max="4" width="15" hidden="0" customWidth="1"/>
    <x:col min="5" max="5" width="32" hidden="0" customWidth="1"/>
    <x:col min="6" max="6" width="9" hidden="0" customWidth="1"/>
    <x:col min="7" max="7" width="17" hidden="0" customWidth="1"/>
    <x:col min="8" max="8" width="15" hidden="0" customWidth="1"/>
    <x:col min="9" max="9" width="11" hidden="0" customWidth="1"/>
  </x:cols>
  <x:sheetData>
    <x:row r="2" ht="27" customHeight="1">
      <x:c r="A2" s="4" t="str">
        <x:v>三条测试路线：完成依赖，包装为终点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9" t="str">
        <x:v>路线编码</x:v>
      </x:c>
      <x:c r="B4" s="12" t="str">
        <x:v>版本</x:v>
      </x:c>
      <x:c r="C4" s="12" t="str">
        <x:v>产品编码</x:v>
      </x:c>
      <x:c r="D4" s="12" t="str">
        <x:v>节点</x:v>
      </x:c>
      <x:c r="E4" s="12" t="str">
        <x:v>工序编码</x:v>
      </x:c>
      <x:c r="F4" s="12" t="str">
        <x:v>顺序</x:v>
      </x:c>
      <x:c r="G4" s="12" t="str">
        <x:v>前置节点</x:v>
      </x:c>
      <x:c r="H4" s="12" t="str">
        <x:v>依赖</x:v>
      </x:c>
      <x:c r="I4" s="10" t="str">
        <x:v>终点</x:v>
      </x:c>
    </x:row>
    <x:row r="5" ht="28" customHeight="1">
      <x:c r="A5" s="2" t="str">
        <x:v>TEST-PCBA-R3-ROUTE</x:v>
      </x:c>
      <x:c r="B5" s="2" t="str">
        <x:v>TEST-V1</x:v>
      </x:c>
      <x:c r="C5" s="2" t="str">
        <x:v>TEST-PCBA-R3</x:v>
      </x:c>
      <x:c r="D5" s="2" t="str">
        <x:v>WELD</x:v>
      </x:c>
      <x:c r="E5" s="2" t="str">
        <x:v>TEST-PCBA-R3-WELD</x:v>
      </x:c>
      <x:c r="F5" s="2" t="n">
        <x:v>10</x:v>
      </x:c>
      <x:c r="G5" s="2"/>
      <x:c r="H5" s="2"/>
      <x:c r="I5" s="21" t="b">
        <x:v>0</x:v>
      </x:c>
    </x:row>
    <x:row r="6" ht="28" customHeight="1">
      <x:c r="A6" s="2" t="str">
        <x:v>TEST-PCBA-R3-ROUTE</x:v>
      </x:c>
      <x:c r="B6" s="2" t="str">
        <x:v>TEST-V1</x:v>
      </x:c>
      <x:c r="C6" s="2" t="str">
        <x:v>TEST-PCBA-R3</x:v>
      </x:c>
      <x:c r="D6" s="2" t="str">
        <x:v>FLASH</x:v>
      </x:c>
      <x:c r="E6" s="2" t="str">
        <x:v>TEST-PCBA-R3-FLASH</x:v>
      </x:c>
      <x:c r="F6" s="2" t="n">
        <x:v>20</x:v>
      </x:c>
      <x:c r="G6" s="2" t="str">
        <x:v>WELD</x:v>
      </x:c>
      <x:c r="H6" s="2" t="str">
        <x:v>FINISH</x:v>
      </x:c>
      <x:c r="I6" s="21" t="b">
        <x:v>0</x:v>
      </x:c>
    </x:row>
    <x:row r="7" ht="28" customHeight="1">
      <x:c r="A7" s="2" t="str">
        <x:v>TEST-PCBA-R3-ROUTE</x:v>
      </x:c>
      <x:c r="B7" s="2" t="str">
        <x:v>TEST-V1</x:v>
      </x:c>
      <x:c r="C7" s="2" t="str">
        <x:v>TEST-PCBA-R3</x:v>
      </x:c>
      <x:c r="D7" s="2" t="str">
        <x:v>FCT</x:v>
      </x:c>
      <x:c r="E7" s="2" t="str">
        <x:v>TEST-PCBA-R3-FCT</x:v>
      </x:c>
      <x:c r="F7" s="2" t="n">
        <x:v>30</x:v>
      </x:c>
      <x:c r="G7" s="2" t="str">
        <x:v>FLASH</x:v>
      </x:c>
      <x:c r="H7" s="2" t="str">
        <x:v>FINISH</x:v>
      </x:c>
      <x:c r="I7" s="21" t="b">
        <x:v>0</x:v>
      </x:c>
    </x:row>
    <x:row r="8" ht="28" customHeight="1">
      <x:c r="A8" s="2" t="str">
        <x:v>TEST-PCBA-R3-ROUTE</x:v>
      </x:c>
      <x:c r="B8" s="2" t="str">
        <x:v>TEST-V1</x:v>
      </x:c>
      <x:c r="C8" s="2" t="str">
        <x:v>TEST-PCBA-R3</x:v>
      </x:c>
      <x:c r="D8" s="2" t="str">
        <x:v>INSPECT</x:v>
      </x:c>
      <x:c r="E8" s="2" t="str">
        <x:v>TEST-PCBA-R3-INSPECT</x:v>
      </x:c>
      <x:c r="F8" s="2" t="n">
        <x:v>40</x:v>
      </x:c>
      <x:c r="G8" s="2" t="str">
        <x:v>FCT</x:v>
      </x:c>
      <x:c r="H8" s="2" t="str">
        <x:v>FINISH</x:v>
      </x:c>
      <x:c r="I8" s="21" t="b">
        <x:v>0</x:v>
      </x:c>
    </x:row>
    <x:row r="9" ht="28" customHeight="1">
      <x:c r="A9" s="2" t="str">
        <x:v>TEST-PCBA-R3-ROUTE</x:v>
      </x:c>
      <x:c r="B9" s="2" t="str">
        <x:v>TEST-V1</x:v>
      </x:c>
      <x:c r="C9" s="2" t="str">
        <x:v>TEST-PCBA-R3</x:v>
      </x:c>
      <x:c r="D9" s="2" t="str">
        <x:v>PACK</x:v>
      </x:c>
      <x:c r="E9" s="2" t="str">
        <x:v>TEST-PCBA-R3-PACK</x:v>
      </x:c>
      <x:c r="F9" s="2" t="n">
        <x:v>50</x:v>
      </x:c>
      <x:c r="G9" s="2" t="str">
        <x:v>INSPECT</x:v>
      </x:c>
      <x:c r="H9" s="2" t="str">
        <x:v>FINISH</x:v>
      </x:c>
      <x:c r="I9" s="21" t="b">
        <x:v>1</x:v>
      </x:c>
    </x:row>
    <x:row r="10" ht="28" customHeight="1">
      <x:c r="A10" s="2" t="str">
        <x:v>TEST-PCBA-NANO-ROUTE</x:v>
      </x:c>
      <x:c r="B10" s="2" t="str">
        <x:v>TEST-V1</x:v>
      </x:c>
      <x:c r="C10" s="2" t="str">
        <x:v>TEST-PCBA-NANO</x:v>
      </x:c>
      <x:c r="D10" s="2" t="str">
        <x:v>WELD</x:v>
      </x:c>
      <x:c r="E10" s="2" t="str">
        <x:v>TEST-PCBA-NANO-WELD</x:v>
      </x:c>
      <x:c r="F10" s="2" t="n">
        <x:v>10</x:v>
      </x:c>
      <x:c r="G10" s="2"/>
      <x:c r="H10" s="2"/>
      <x:c r="I10" s="21" t="b">
        <x:v>0</x:v>
      </x:c>
    </x:row>
    <x:row r="11" ht="28" customHeight="1">
      <x:c r="A11" s="2" t="str">
        <x:v>TEST-PCBA-NANO-ROUTE</x:v>
      </x:c>
      <x:c r="B11" s="2" t="str">
        <x:v>TEST-V1</x:v>
      </x:c>
      <x:c r="C11" s="2" t="str">
        <x:v>TEST-PCBA-NANO</x:v>
      </x:c>
      <x:c r="D11" s="2" t="str">
        <x:v>FLASH</x:v>
      </x:c>
      <x:c r="E11" s="2" t="str">
        <x:v>TEST-PCBA-NANO-FLASH</x:v>
      </x:c>
      <x:c r="F11" s="2" t="n">
        <x:v>20</x:v>
      </x:c>
      <x:c r="G11" s="2" t="str">
        <x:v>WELD</x:v>
      </x:c>
      <x:c r="H11" s="2" t="str">
        <x:v>FINISH</x:v>
      </x:c>
      <x:c r="I11" s="21" t="b">
        <x:v>0</x:v>
      </x:c>
    </x:row>
    <x:row r="12" ht="28" customHeight="1">
      <x:c r="A12" s="2" t="str">
        <x:v>TEST-PCBA-NANO-ROUTE</x:v>
      </x:c>
      <x:c r="B12" s="2" t="str">
        <x:v>TEST-V1</x:v>
      </x:c>
      <x:c r="C12" s="2" t="str">
        <x:v>TEST-PCBA-NANO</x:v>
      </x:c>
      <x:c r="D12" s="2" t="str">
        <x:v>FCT</x:v>
      </x:c>
      <x:c r="E12" s="2" t="str">
        <x:v>TEST-PCBA-NANO-FCT</x:v>
      </x:c>
      <x:c r="F12" s="2" t="n">
        <x:v>30</x:v>
      </x:c>
      <x:c r="G12" s="2" t="str">
        <x:v>FLASH</x:v>
      </x:c>
      <x:c r="H12" s="2" t="str">
        <x:v>FINISH</x:v>
      </x:c>
      <x:c r="I12" s="21" t="b">
        <x:v>0</x:v>
      </x:c>
    </x:row>
    <x:row r="13" ht="28" customHeight="1">
      <x:c r="A13" s="2" t="str">
        <x:v>TEST-PCBA-NANO-ROUTE</x:v>
      </x:c>
      <x:c r="B13" s="2" t="str">
        <x:v>TEST-V1</x:v>
      </x:c>
      <x:c r="C13" s="2" t="str">
        <x:v>TEST-PCBA-NANO</x:v>
      </x:c>
      <x:c r="D13" s="2" t="str">
        <x:v>INSPECT</x:v>
      </x:c>
      <x:c r="E13" s="2" t="str">
        <x:v>TEST-PCBA-NANO-INSPECT</x:v>
      </x:c>
      <x:c r="F13" s="2" t="n">
        <x:v>40</x:v>
      </x:c>
      <x:c r="G13" s="2" t="str">
        <x:v>FCT</x:v>
      </x:c>
      <x:c r="H13" s="2" t="str">
        <x:v>FINISH</x:v>
      </x:c>
      <x:c r="I13" s="21" t="b">
        <x:v>0</x:v>
      </x:c>
    </x:row>
    <x:row r="14" ht="28" customHeight="1">
      <x:c r="A14" s="2" t="str">
        <x:v>TEST-PCBA-NANO-ROUTE</x:v>
      </x:c>
      <x:c r="B14" s="2" t="str">
        <x:v>TEST-V1</x:v>
      </x:c>
      <x:c r="C14" s="2" t="str">
        <x:v>TEST-PCBA-NANO</x:v>
      </x:c>
      <x:c r="D14" s="2" t="str">
        <x:v>PACK</x:v>
      </x:c>
      <x:c r="E14" s="2" t="str">
        <x:v>TEST-PCBA-NANO-PACK</x:v>
      </x:c>
      <x:c r="F14" s="2" t="n">
        <x:v>50</x:v>
      </x:c>
      <x:c r="G14" s="2" t="str">
        <x:v>INSPECT</x:v>
      </x:c>
      <x:c r="H14" s="2" t="str">
        <x:v>FINISH</x:v>
      </x:c>
      <x:c r="I14" s="21" t="b">
        <x:v>1</x:v>
      </x:c>
    </x:row>
    <x:row r="15" ht="28" customHeight="1">
      <x:c r="A15" s="2" t="str">
        <x:v>TEST-PCBA-R4-ROUTE</x:v>
      </x:c>
      <x:c r="B15" s="2" t="str">
        <x:v>TEST-V1</x:v>
      </x:c>
      <x:c r="C15" s="2" t="str">
        <x:v>TEST-PCBA-R4</x:v>
      </x:c>
      <x:c r="D15" s="2" t="str">
        <x:v>WELD</x:v>
      </x:c>
      <x:c r="E15" s="2" t="str">
        <x:v>TEST-PCBA-R4-WELD</x:v>
      </x:c>
      <x:c r="F15" s="2" t="n">
        <x:v>10</x:v>
      </x:c>
      <x:c r="G15" s="2"/>
      <x:c r="H15" s="2"/>
      <x:c r="I15" s="21" t="b">
        <x:v>0</x:v>
      </x:c>
    </x:row>
    <x:row r="16" ht="28" customHeight="1">
      <x:c r="A16" s="2" t="str">
        <x:v>TEST-PCBA-R4-ROUTE</x:v>
      </x:c>
      <x:c r="B16" s="2" t="str">
        <x:v>TEST-V1</x:v>
      </x:c>
      <x:c r="C16" s="2" t="str">
        <x:v>TEST-PCBA-R4</x:v>
      </x:c>
      <x:c r="D16" s="2" t="str">
        <x:v>FLASH</x:v>
      </x:c>
      <x:c r="E16" s="2" t="str">
        <x:v>TEST-PCBA-R4-FLASH</x:v>
      </x:c>
      <x:c r="F16" s="2" t="n">
        <x:v>20</x:v>
      </x:c>
      <x:c r="G16" s="2" t="str">
        <x:v>WELD</x:v>
      </x:c>
      <x:c r="H16" s="2" t="str">
        <x:v>FINISH</x:v>
      </x:c>
      <x:c r="I16" s="21" t="b">
        <x:v>0</x:v>
      </x:c>
    </x:row>
    <x:row r="17" ht="28" customHeight="1">
      <x:c r="A17" s="2" t="str">
        <x:v>TEST-PCBA-R4-ROUTE</x:v>
      </x:c>
      <x:c r="B17" s="2" t="str">
        <x:v>TEST-V1</x:v>
      </x:c>
      <x:c r="C17" s="2" t="str">
        <x:v>TEST-PCBA-R4</x:v>
      </x:c>
      <x:c r="D17" s="2" t="str">
        <x:v>FCT</x:v>
      </x:c>
      <x:c r="E17" s="2" t="str">
        <x:v>TEST-PCBA-R4-FCT</x:v>
      </x:c>
      <x:c r="F17" s="2" t="n">
        <x:v>30</x:v>
      </x:c>
      <x:c r="G17" s="2" t="str">
        <x:v>FLASH</x:v>
      </x:c>
      <x:c r="H17" s="2" t="str">
        <x:v>FINISH</x:v>
      </x:c>
      <x:c r="I17" s="21" t="b">
        <x:v>0</x:v>
      </x:c>
    </x:row>
    <x:row r="18" ht="28" customHeight="1">
      <x:c r="A18" s="2" t="str">
        <x:v>TEST-PCBA-R4-ROUTE</x:v>
      </x:c>
      <x:c r="B18" s="2" t="str">
        <x:v>TEST-V1</x:v>
      </x:c>
      <x:c r="C18" s="2" t="str">
        <x:v>TEST-PCBA-R4</x:v>
      </x:c>
      <x:c r="D18" s="2" t="str">
        <x:v>INSPECT</x:v>
      </x:c>
      <x:c r="E18" s="2" t="str">
        <x:v>TEST-PCBA-R4-INSPECT</x:v>
      </x:c>
      <x:c r="F18" s="2" t="n">
        <x:v>40</x:v>
      </x:c>
      <x:c r="G18" s="2" t="str">
        <x:v>FCT</x:v>
      </x:c>
      <x:c r="H18" s="2" t="str">
        <x:v>FINISH</x:v>
      </x:c>
      <x:c r="I18" s="21" t="b">
        <x:v>0</x:v>
      </x:c>
    </x:row>
    <x:row r="19" ht="28" customHeight="1">
      <x:c r="A19" s="2" t="str">
        <x:v>TEST-PCBA-R4-ROUTE</x:v>
      </x:c>
      <x:c r="B19" s="2" t="str">
        <x:v>TEST-V1</x:v>
      </x:c>
      <x:c r="C19" s="2" t="str">
        <x:v>TEST-PCBA-R4</x:v>
      </x:c>
      <x:c r="D19" s="2" t="str">
        <x:v>PACK</x:v>
      </x:c>
      <x:c r="E19" s="2" t="str">
        <x:v>TEST-PCBA-R4-PACK</x:v>
      </x:c>
      <x:c r="F19" s="2" t="n">
        <x:v>50</x:v>
      </x:c>
      <x:c r="G19" s="2" t="str">
        <x:v>INSPECT</x:v>
      </x:c>
      <x:c r="H19" s="2" t="str">
        <x:v>FINISH</x:v>
      </x:c>
      <x:c r="I19" s="21" t="b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6" hidden="0" customWidth="1"/>
    <x:col min="3" max="3" width="15" hidden="0" customWidth="1"/>
    <x:col min="4" max="4" width="16" hidden="0" customWidth="1"/>
    <x:col min="5" max="5" width="11" hidden="0" customWidth="1"/>
    <x:col min="6" max="6" width="27" hidden="0" customWidth="1"/>
    <x:col min="7" max="7" width="27" hidden="0" customWidth="1"/>
    <x:col min="8" max="8" width="15" hidden="0" customWidth="1"/>
  </x:cols>
  <x:sheetData>
    <x:row r="2" ht="27" customHeight="1">
      <x:c r="A2" s="4" t="str">
        <x:v>六张测试订单：合计380件</x:v>
      </x:c>
      <x:c r="B2" s="3"/>
      <x:c r="C2" s="3"/>
      <x:c r="D2" s="3"/>
      <x:c r="E2" s="3"/>
      <x:c r="F2" s="3"/>
      <x:c r="G2" s="3"/>
      <x:c r="H2" s="3"/>
    </x:row>
    <x:row r="3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9" t="str">
        <x:v>订单号</x:v>
      </x:c>
      <x:c r="B4" s="12" t="str">
        <x:v>产品编码</x:v>
      </x:c>
      <x:c r="C4" s="12" t="str">
        <x:v>需求量PCS</x:v>
      </x:c>
      <x:c r="D4" s="12" t="str">
        <x:v>路线版本</x:v>
      </x:c>
      <x:c r="E4" s="12" t="str">
        <x:v>优先级</x:v>
      </x:c>
      <x:c r="F4" s="12" t="str">
        <x:v>最早开工（北京时间）</x:v>
      </x:c>
      <x:c r="G4" s="12" t="str">
        <x:v>交期（北京时间）</x:v>
      </x:c>
      <x:c r="H4" s="10" t="str">
        <x:v>数据性质</x:v>
      </x:c>
    </x:row>
    <x:row r="5" ht="28" customHeight="1">
      <x:c r="A5" s="2" t="str">
        <x:v>TEST-PCBA-202610-001</x:v>
      </x:c>
      <x:c r="B5" s="2" t="str">
        <x:v>TEST-PCBA-R3</x:v>
      </x:c>
      <x:c r="C5" s="2" t="n">
        <x:v>20</x:v>
      </x:c>
      <x:c r="D5" s="2" t="str">
        <x:v>TEST-V1</x:v>
      </x:c>
      <x:c r="E5" s="2" t="n">
        <x:v>50</x:v>
      </x:c>
      <x:c r="F5" s="20" t="n">
        <x:v>46307.375</x:v>
      </x:c>
      <x:c r="G5" s="20" t="n">
        <x:v>46307.5</x:v>
      </x:c>
      <x:c r="H5" s="2" t="str">
        <x:v>测试设定</x:v>
      </x:c>
    </x:row>
    <x:row r="6" ht="28" customHeight="1">
      <x:c r="A6" s="2" t="str">
        <x:v>TEST-PCBA-202610-002</x:v>
      </x:c>
      <x:c r="B6" s="2" t="str">
        <x:v>TEST-PCBA-R3</x:v>
      </x:c>
      <x:c r="C6" s="2" t="n">
        <x:v>80</x:v>
      </x:c>
      <x:c r="D6" s="2" t="str">
        <x:v>TEST-V1</x:v>
      </x:c>
      <x:c r="E6" s="2" t="n">
        <x:v>30</x:v>
      </x:c>
      <x:c r="F6" s="20" t="n">
        <x:v>46307.375</x:v>
      </x:c>
      <x:c r="G6" s="20" t="n">
        <x:v>46307.708333333336</x:v>
      </x:c>
      <x:c r="H6" s="2" t="str">
        <x:v>测试设定</x:v>
      </x:c>
    </x:row>
    <x:row r="7" ht="28" customHeight="1">
      <x:c r="A7" s="2" t="str">
        <x:v>TEST-PCBA-202610-003</x:v>
      </x:c>
      <x:c r="B7" s="2" t="str">
        <x:v>TEST-PCBA-NANO</x:v>
      </x:c>
      <x:c r="C7" s="2" t="n">
        <x:v>60</x:v>
      </x:c>
      <x:c r="D7" s="2" t="str">
        <x:v>TEST-V1</x:v>
      </x:c>
      <x:c r="E7" s="2" t="n">
        <x:v>30</x:v>
      </x:c>
      <x:c r="F7" s="20" t="n">
        <x:v>46307.375</x:v>
      </x:c>
      <x:c r="G7" s="20" t="n">
        <x:v>46308.5</x:v>
      </x:c>
      <x:c r="H7" s="2" t="str">
        <x:v>测试设定</x:v>
      </x:c>
    </x:row>
    <x:row r="8" ht="28" customHeight="1">
      <x:c r="A8" s="2" t="str">
        <x:v>TEST-PCBA-202610-004</x:v>
      </x:c>
      <x:c r="B8" s="2" t="str">
        <x:v>TEST-PCBA-R4</x:v>
      </x:c>
      <x:c r="C8" s="2" t="n">
        <x:v>100</x:v>
      </x:c>
      <x:c r="D8" s="2" t="str">
        <x:v>TEST-V1</x:v>
      </x:c>
      <x:c r="E8" s="2" t="n">
        <x:v>40</x:v>
      </x:c>
      <x:c r="F8" s="20" t="n">
        <x:v>46307.375</x:v>
      </x:c>
      <x:c r="G8" s="20" t="n">
        <x:v>46308.708333333336</x:v>
      </x:c>
      <x:c r="H8" s="2" t="str">
        <x:v>测试设定</x:v>
      </x:c>
    </x:row>
    <x:row r="9" ht="28" customHeight="1">
      <x:c r="A9" s="2" t="str">
        <x:v>TEST-PCBA-202610-005</x:v>
      </x:c>
      <x:c r="B9" s="2" t="str">
        <x:v>TEST-PCBA-NANO</x:v>
      </x:c>
      <x:c r="C9" s="2" t="n">
        <x:v>80</x:v>
      </x:c>
      <x:c r="D9" s="2" t="str">
        <x:v>TEST-V1</x:v>
      </x:c>
      <x:c r="E9" s="2" t="n">
        <x:v>20</x:v>
      </x:c>
      <x:c r="F9" s="20" t="n">
        <x:v>46307.375</x:v>
      </x:c>
      <x:c r="G9" s="20" t="n">
        <x:v>46309.5</x:v>
      </x:c>
      <x:c r="H9" s="2" t="str">
        <x:v>测试设定</x:v>
      </x:c>
    </x:row>
    <x:row r="10" ht="28" customHeight="1">
      <x:c r="A10" s="2" t="str">
        <x:v>TEST-PCBA-202610-006</x:v>
      </x:c>
      <x:c r="B10" s="2" t="str">
        <x:v>TEST-PCBA-R4</x:v>
      </x:c>
      <x:c r="C10" s="2" t="n">
        <x:v>40</x:v>
      </x:c>
      <x:c r="D10" s="2" t="str">
        <x:v>TEST-V1</x:v>
      </x:c>
      <x:c r="E10" s="2" t="n">
        <x:v>20</x:v>
      </x:c>
      <x:c r="F10" s="20" t="n">
        <x:v>46307.375</x:v>
      </x:c>
      <x:c r="G10" s="20" t="n">
        <x:v>46309.708333333336</x:v>
      </x:c>
      <x:c r="H10" s="2" t="str">
        <x:v>测试设定</x:v>
      </x:c>
    </x:row>
    <x:row r="12">
      <x:c r="A12" s="24" t="str">
        <x:v>需求总量PCS</x:v>
      </x:c>
      <x:c r="B12" s="24" t="n">
        <x:f>SUM(C5:C10)</x:f>
        <x:v>380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32" hidden="0" customWidth="1"/>
    <x:col min="4" max="4" width="15" hidden="0" customWidth="1"/>
    <x:col min="5" max="5" width="15" hidden="0" customWidth="1"/>
    <x:col min="6" max="6" width="27" hidden="0" customWidth="1"/>
    <x:col min="7" max="7" width="18" hidden="0" customWidth="1"/>
  </x:cols>
  <x:sheetData>
    <x:row r="2" ht="27" customHeight="1">
      <x:c r="A2" s="4" t="str">
        <x:v>材料准备：只作为场景输入，非完整BOM或库存台账</x:v>
      </x:c>
      <x:c r="B2" s="3"/>
      <x:c r="C2" s="3"/>
      <x:c r="D2" s="3"/>
      <x:c r="E2" s="3"/>
      <x:c r="F2" s="3"/>
      <x:c r="G2" s="3"/>
    </x:row>
    <x:row r="3">
      <x:c r="A3" s="2"/>
      <x:c r="B3" s="2"/>
      <x:c r="C3" s="2"/>
      <x:c r="D3" s="2"/>
      <x:c r="E3" s="2"/>
      <x:c r="F3" s="2"/>
      <x:c r="G3" s="2"/>
    </x:row>
    <x:row r="4" ht="26" customHeight="1">
      <x:c r="A4" s="9" t="str">
        <x:v>订单号</x:v>
      </x:c>
      <x:c r="B4" s="12" t="str">
        <x:v>目标节点</x:v>
      </x:c>
      <x:c r="C4" s="12" t="str">
        <x:v>物料编码</x:v>
      </x:c>
      <x:c r="D4" s="12" t="str">
        <x:v>需求量PCS</x:v>
      </x:c>
      <x:c r="E4" s="12" t="str">
        <x:v>准备量PCS</x:v>
      </x:c>
      <x:c r="F4" s="12" t="str">
        <x:v>准备时间（北京时间）</x:v>
      </x:c>
      <x:c r="G4" s="10" t="str">
        <x:v>来源</x:v>
      </x:c>
    </x:row>
    <x:row r="5" ht="28" customHeight="1">
      <x:c r="A5" s="2" t="str">
        <x:v>TEST-PCBA-202610-001</x:v>
      </x:c>
      <x:c r="B5" s="2" t="str">
        <x:v>WELD</x:v>
      </x:c>
      <x:c r="C5" s="2" t="str">
        <x:v>TEST-PCBA-R3-SEMI</x:v>
      </x:c>
      <x:c r="D5" s="2" t="n">
        <x:v>20</x:v>
      </x:c>
      <x:c r="E5" s="2" t="n">
        <x:v>20</x:v>
      </x:c>
      <x:c r="F5" s="20" t="n">
        <x:v>46307.375</x:v>
      </x:c>
      <x:c r="G5" s="2" t="str">
        <x:v>测试设定</x:v>
      </x:c>
    </x:row>
    <x:row r="6" ht="28" customHeight="1">
      <x:c r="A6" s="2" t="str">
        <x:v>TEST-PCBA-202610-001</x:v>
      </x:c>
      <x:c r="B6" s="2" t="str">
        <x:v>PACK</x:v>
      </x:c>
      <x:c r="C6" s="2" t="str">
        <x:v>TEST-PCBA-BOX</x:v>
      </x:c>
      <x:c r="D6" s="2" t="n">
        <x:v>20</x:v>
      </x:c>
      <x:c r="E6" s="2" t="n">
        <x:v>20</x:v>
      </x:c>
      <x:c r="F6" s="20" t="n">
        <x:v>46307.375</x:v>
      </x:c>
      <x:c r="G6" s="2" t="str">
        <x:v>测试设定</x:v>
      </x:c>
    </x:row>
    <x:row r="7" ht="28" customHeight="1">
      <x:c r="A7" s="2" t="str">
        <x:v>TEST-PCBA-202610-002</x:v>
      </x:c>
      <x:c r="B7" s="2" t="str">
        <x:v>WELD</x:v>
      </x:c>
      <x:c r="C7" s="2" t="str">
        <x:v>TEST-PCBA-R3-SEMI</x:v>
      </x:c>
      <x:c r="D7" s="2" t="n">
        <x:v>80</x:v>
      </x:c>
      <x:c r="E7" s="2" t="n">
        <x:v>80</x:v>
      </x:c>
      <x:c r="F7" s="20" t="n">
        <x:v>46307.375</x:v>
      </x:c>
      <x:c r="G7" s="2" t="str">
        <x:v>测试设定</x:v>
      </x:c>
    </x:row>
    <x:row r="8" ht="28" customHeight="1">
      <x:c r="A8" s="2" t="str">
        <x:v>TEST-PCBA-202610-002</x:v>
      </x:c>
      <x:c r="B8" s="2" t="str">
        <x:v>PACK</x:v>
      </x:c>
      <x:c r="C8" s="2" t="str">
        <x:v>TEST-PCBA-BOX</x:v>
      </x:c>
      <x:c r="D8" s="2" t="n">
        <x:v>80</x:v>
      </x:c>
      <x:c r="E8" s="2" t="n">
        <x:v>80</x:v>
      </x:c>
      <x:c r="F8" s="20" t="n">
        <x:v>46307.375</x:v>
      </x:c>
      <x:c r="G8" s="2" t="str">
        <x:v>测试设定</x:v>
      </x:c>
    </x:row>
    <x:row r="9" ht="28" customHeight="1">
      <x:c r="A9" s="2" t="str">
        <x:v>TEST-PCBA-202610-003</x:v>
      </x:c>
      <x:c r="B9" s="2" t="str">
        <x:v>WELD</x:v>
      </x:c>
      <x:c r="C9" s="2" t="str">
        <x:v>TEST-PCBA-NANO-SEMI</x:v>
      </x:c>
      <x:c r="D9" s="2" t="n">
        <x:v>60</x:v>
      </x:c>
      <x:c r="E9" s="2" t="n">
        <x:v>60</x:v>
      </x:c>
      <x:c r="F9" s="20" t="n">
        <x:v>46307.375</x:v>
      </x:c>
      <x:c r="G9" s="2" t="str">
        <x:v>测试设定</x:v>
      </x:c>
    </x:row>
    <x:row r="10" ht="28" customHeight="1">
      <x:c r="A10" s="2" t="str">
        <x:v>TEST-PCBA-202610-003</x:v>
      </x:c>
      <x:c r="B10" s="2" t="str">
        <x:v>PACK</x:v>
      </x:c>
      <x:c r="C10" s="2" t="str">
        <x:v>TEST-PCBA-BOX</x:v>
      </x:c>
      <x:c r="D10" s="2" t="n">
        <x:v>60</x:v>
      </x:c>
      <x:c r="E10" s="2" t="n">
        <x:v>60</x:v>
      </x:c>
      <x:c r="F10" s="20" t="n">
        <x:v>46307.375</x:v>
      </x:c>
      <x:c r="G10" s="2" t="str">
        <x:v>测试设定</x:v>
      </x:c>
    </x:row>
    <x:row r="11" ht="28" customHeight="1">
      <x:c r="A11" s="2" t="str">
        <x:v>TEST-PCBA-202610-004</x:v>
      </x:c>
      <x:c r="B11" s="2" t="str">
        <x:v>WELD</x:v>
      </x:c>
      <x:c r="C11" s="2" t="str">
        <x:v>TEST-PCBA-R4-SEMI</x:v>
      </x:c>
      <x:c r="D11" s="2" t="n">
        <x:v>100</x:v>
      </x:c>
      <x:c r="E11" s="2" t="n">
        <x:v>100</x:v>
      </x:c>
      <x:c r="F11" s="20" t="n">
        <x:v>46307.375</x:v>
      </x:c>
      <x:c r="G11" s="2" t="str">
        <x:v>测试设定</x:v>
      </x:c>
    </x:row>
    <x:row r="12" ht="28" customHeight="1">
      <x:c r="A12" s="2" t="str">
        <x:v>TEST-PCBA-202610-004</x:v>
      </x:c>
      <x:c r="B12" s="2" t="str">
        <x:v>PACK</x:v>
      </x:c>
      <x:c r="C12" s="2" t="str">
        <x:v>TEST-PCBA-BOX</x:v>
      </x:c>
      <x:c r="D12" s="2" t="n">
        <x:v>100</x:v>
      </x:c>
      <x:c r="E12" s="2" t="n">
        <x:v>100</x:v>
      </x:c>
      <x:c r="F12" s="20" t="n">
        <x:v>46307.375</x:v>
      </x:c>
      <x:c r="G12" s="2" t="str">
        <x:v>测试设定</x:v>
      </x:c>
    </x:row>
    <x:row r="13" ht="28" customHeight="1">
      <x:c r="A13" s="2" t="str">
        <x:v>TEST-PCBA-202610-005</x:v>
      </x:c>
      <x:c r="B13" s="2" t="str">
        <x:v>WELD</x:v>
      </x:c>
      <x:c r="C13" s="2" t="str">
        <x:v>TEST-PCBA-NANO-SEMI</x:v>
      </x:c>
      <x:c r="D13" s="2" t="n">
        <x:v>80</x:v>
      </x:c>
      <x:c r="E13" s="2" t="n">
        <x:v>80</x:v>
      </x:c>
      <x:c r="F13" s="20" t="n">
        <x:v>46307.375</x:v>
      </x:c>
      <x:c r="G13" s="2" t="str">
        <x:v>测试设定</x:v>
      </x:c>
    </x:row>
    <x:row r="14" ht="28" customHeight="1">
      <x:c r="A14" s="2" t="str">
        <x:v>TEST-PCBA-202610-005</x:v>
      </x:c>
      <x:c r="B14" s="2" t="str">
        <x:v>PACK</x:v>
      </x:c>
      <x:c r="C14" s="2" t="str">
        <x:v>TEST-PCBA-BOX</x:v>
      </x:c>
      <x:c r="D14" s="2" t="n">
        <x:v>80</x:v>
      </x:c>
      <x:c r="E14" s="2" t="n">
        <x:v>80</x:v>
      </x:c>
      <x:c r="F14" s="20" t="n">
        <x:v>46307.375</x:v>
      </x:c>
      <x:c r="G14" s="2" t="str">
        <x:v>测试设定</x:v>
      </x:c>
    </x:row>
    <x:row r="15" ht="28" customHeight="1">
      <x:c r="A15" s="2" t="str">
        <x:v>TEST-PCBA-202610-006</x:v>
      </x:c>
      <x:c r="B15" s="2" t="str">
        <x:v>WELD</x:v>
      </x:c>
      <x:c r="C15" s="2" t="str">
        <x:v>TEST-PCBA-R4-SEMI</x:v>
      </x:c>
      <x:c r="D15" s="2" t="n">
        <x:v>40</x:v>
      </x:c>
      <x:c r="E15" s="2" t="n">
        <x:v>40</x:v>
      </x:c>
      <x:c r="F15" s="20" t="n">
        <x:v>46307.375</x:v>
      </x:c>
      <x:c r="G15" s="2" t="str">
        <x:v>测试设定</x:v>
      </x:c>
    </x:row>
    <x:row r="16" ht="28" customHeight="1">
      <x:c r="A16" s="2" t="str">
        <x:v>TEST-PCBA-202610-006</x:v>
      </x:c>
      <x:c r="B16" s="2" t="str">
        <x:v>PACK</x:v>
      </x:c>
      <x:c r="C16" s="2" t="str">
        <x:v>TEST-PCBA-BOX</x:v>
      </x:c>
      <x:c r="D16" s="2" t="n">
        <x:v>40</x:v>
      </x:c>
      <x:c r="E16" s="2" t="n">
        <x:v>40</x:v>
      </x:c>
      <x:c r="F16" s="20" t="n">
        <x:v>46307.375</x:v>
      </x:c>
      <x:c r="G16" s="2" t="str">
        <x:v>测试设定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67" hidden="0" customWidth="1"/>
    <x:col min="4" max="4" width="76" hidden="0" customWidth="1"/>
    <x:col min="5" max="5" width="66" hidden="0" customWidth="1"/>
    <x:col min="6" max="6" width="16" hidden="0" customWidth="1"/>
  </x:cols>
  <x:sheetData>
    <x:row r="2" ht="27" customHeight="1">
      <x:c r="A2" s="4" t="str">
        <x:v>先跑正常基线，再逐个改变条件</x:v>
      </x:c>
      <x:c r="B2" s="3"/>
      <x:c r="C2" s="3"/>
      <x:c r="D2" s="3"/>
      <x:c r="E2" s="3"/>
      <x:c r="F2" s="3"/>
    </x:row>
    <x:row r="3">
      <x:c r="A3" s="2"/>
      <x:c r="B3" s="2"/>
      <x:c r="C3" s="2"/>
      <x:c r="D3" s="2"/>
      <x:c r="E3" s="2"/>
      <x:c r="F3" s="2"/>
    </x:row>
    <x:row r="4" ht="26" customHeight="1">
      <x:c r="A4" s="9" t="str">
        <x:v>编号</x:v>
      </x:c>
      <x:c r="B4" s="12" t="str">
        <x:v>业务场景</x:v>
      </x:c>
      <x:c r="C4" s="12" t="str">
        <x:v>输入及变更</x:v>
      </x:c>
      <x:c r="D4" s="12" t="str">
        <x:v>独立预期</x:v>
      </x:c>
      <x:c r="E4" s="12" t="str">
        <x:v>核对方法</x:v>
      </x:c>
      <x:c r="F4" s="10" t="str">
        <x:v>场景关系</x:v>
      </x:c>
    </x:row>
    <x:row r="5" ht="55" customHeight="1">
      <x:c r="A5" s="2" t="str">
        <x:v>01</x:v>
      </x:c>
      <x:c r="B5" s="2" t="str">
        <x:v>20件正常基线</x:v>
      </x:c>
      <x:c r="C5" s="19" t="str">
        <x:v>只选001订单；全部准备好、合格；09:00开始</x:v>
      </x:c>
      <x:c r="D5" s="19" t="str">
        <x:v>无资源等待时最早10:40完工；总工序时长100分钟</x:v>
      </x:c>
      <x:c r="E5" s="19" t="str">
        <x:v>手算基线；五段时间、五工序最终数量</x:v>
      </x:c>
      <x:c r="F5" s="2" t="str">
        <x:v>正常基线</x:v>
      </x:c>
    </x:row>
    <x:row r="6" ht="55" customHeight="1">
      <x:c r="A6" s="2" t="str">
        <x:v>02</x:v>
      </x:c>
      <x:c r="B6" s="2" t="str">
        <x:v>共享人机冲突</x:v>
      </x:c>
      <x:c r="C6" s="19" t="str">
        <x:v>选001和003；只保留一台功能测试机</x:v>
      </x:c>
      <x:c r="D6" s="19" t="str">
        <x:v>测试设备和同一人员的占用不重叠；不同中心不能复制同一人容量</x:v>
      </x:c>
      <x:c r="E6" s="19" t="str">
        <x:v>按资源合并占用区间检查；不要求唯一最优序列</x:v>
      </x:c>
      <x:c r="F6" s="2" t="str">
        <x:v>独立变体</x:v>
      </x:c>
    </x:row>
    <x:row r="7" ht="55" customHeight="1">
      <x:c r="A7" s="2" t="str">
        <x:v>03</x:v>
      </x:c>
      <x:c r="B7" s="2" t="str">
        <x:v>午休边界</x:v>
      </x:c>
      <x:c r="C7" s="19" t="str">
        <x:v>001最早开工改为11:30；补焊30分钟</x:v>
      </x:c>
      <x:c r="D7" s="19" t="str">
        <x:v>12:00恰好结束允许；后续占用不得落在12:00–13:00</x:v>
      </x:c>
      <x:c r="E7" s="19" t="str">
        <x:v>资源绝对窗口；不可中断阶段不穿越午休</x:v>
      </x:c>
      <x:c r="F7" s="2" t="str">
        <x:v>独立变体</x:v>
      </x:c>
    </x:row>
    <x:row r="8" ht="55" customHeight="1">
      <x:c r="A8" s="2" t="str">
        <x:v>04</x:v>
      </x:c>
      <x:c r="B8" s="2" t="str">
        <x:v>半成品缺料</x:v>
      </x:c>
      <x:c r="C8" s="19" t="str">
        <x:v>001半成品准备量改为19，需求20</x:v>
      </x:c>
      <x:c r="D8" s="19" t="str">
        <x:v>缺1件必须可见；不能静默视为齐套、正常全量完成</x:v>
      </x:c>
      <x:c r="E8" s="19" t="str">
        <x:v>材料准备与就绪反馈；当前输入适配需核对</x:v>
      </x:c>
      <x:c r="F8" s="2" t="str">
        <x:v>独立变体</x:v>
      </x:c>
    </x:row>
    <x:row r="9" ht="55" customHeight="1">
      <x:c r="A9" s="2" t="str">
        <x:v>05</x:v>
      </x:c>
      <x:c r="B9" s="2" t="str">
        <x:v>测试设备停机</x:v>
      </x:c>
      <x:c r="C9" s="19" t="str">
        <x:v>FCT设备新增10月12日09:00–12:00 MAINTENANCE</x:v>
      </x:c>
      <x:c r="D9" s="19" t="str">
        <x:v>设备占用避开09:00–12:00；保留正常日历</x:v>
      </x:c>
      <x:c r="E9" s="19" t="str">
        <x:v>检查实际排程区间与不可用窗交集为零</x:v>
      </x:c>
      <x:c r="F9" s="2" t="str">
        <x:v>独立变体</x:v>
      </x:c>
    </x:row>
    <x:row r="10" ht="55" customHeight="1">
      <x:c r="A10" s="2" t="str">
        <x:v>06</x:v>
      </x:c>
      <x:c r="B10" s="2" t="str">
        <x:v>焊接资格到期</x:v>
      </x:c>
      <x:c r="C10" s="19" t="str">
        <x:v>两名WELD人员资格有效结束均改为10月11日23:59</x:v>
      </x:c>
      <x:c r="D10" s="19" t="str">
        <x:v>10月12日焊接无合格候选；不可自动指派过期人员</x:v>
      </x:c>
      <x:c r="E10" s="19" t="str">
        <x:v>技能等级、有效期和可解释缺项</x:v>
      </x:c>
      <x:c r="F10" s="2" t="str">
        <x:v>独立变体</x:v>
      </x:c>
    </x:row>
    <x:row r="11" ht="55" customHeight="1">
      <x:c r="A11" s="2" t="str">
        <x:v>07</x:v>
      </x:c>
      <x:c r="B11" s="2" t="str">
        <x:v>质量损失补产</x:v>
      </x:c>
      <x:c r="C11" s="19" t="str">
        <x:v>001功能测试加工20；合格19、报废1；其他工序不重复算报废</x:v>
      </x:c>
      <x:c r="D11" s="19" t="str">
        <x:v>尚缺1件合格成品；包装至多19；补产前整单不能完成</x:v>
      </x:c>
      <x:c r="E11" s="19" t="str">
        <x:v>每工序数量守恒；终端合格需求20</x:v>
      </x:c>
      <x:c r="F11" s="2" t="str">
        <x:v>独立变体</x:v>
      </x:c>
    </x:row>
    <x:row r="12" ht="55" customHeight="1">
      <x:c r="A12" s="2" t="str">
        <x:v>08</x:v>
      </x:c>
      <x:c r="B12" s="2" t="str">
        <x:v>交期不可行</x:v>
      </x:c>
      <x:c r="C12" s="19" t="str">
        <x:v>001仍09:00开始，交期改为10:00</x:v>
      </x:c>
      <x:c r="D12" s="19" t="str">
        <x:v>100分钟下界大于60分钟窗口；至少晚40分钟或明确不可行</x:v>
      </x:c>
      <x:c r="E12" s="19" t="str">
        <x:v>独立时长下界；不得承诺按期完成</x:v>
      </x:c>
      <x:c r="F12" s="2" t="str">
        <x:v>独立变体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</x:cols>
  <x:sheetData>
    <x:row r="2" ht="27" customHeight="1">
      <x:c r="A2" s="4" t="str">
        <x:v>单订单无等待手算基线：输入数量与开始时间</x:v>
      </x:c>
      <x:c r="B2" s="3"/>
      <x:c r="C2" s="3"/>
      <x:c r="D2" s="3"/>
      <x:c r="E2" s="3"/>
      <x:c r="F2" s="3"/>
      <x:c r="G2" s="3"/>
      <x:c r="H2" s="3"/>
    </x:row>
    <x:row r="3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9" t="str">
        <x:v>工序</x:v>
      </x:c>
      <x:c r="B4" s="12" t="str">
        <x:v>数量PCS</x:v>
      </x:c>
      <x:c r="C4" s="12" t="str">
        <x:v>准备秒数</x:v>
      </x:c>
      <x:c r="D4" s="12" t="str">
        <x:v>每件秒数</x:v>
      </x:c>
      <x:c r="E4" s="12" t="str">
        <x:v>本工序分钟</x:v>
      </x:c>
      <x:c r="F4" s="12" t="str">
        <x:v>累计分钟</x:v>
      </x:c>
      <x:c r="G4" s="12" t="str">
        <x:v>最早开始</x:v>
      </x:c>
      <x:c r="H4" s="10" t="str">
        <x:v>最早结束</x:v>
      </x:c>
    </x:row>
    <x:row r="5" ht="28" customHeight="1">
      <x:c r="A5" s="2" t="str">
        <x:v>插件/补焊</x:v>
      </x:c>
      <x:c r="B5" s="25" t="n">
        <x:v>20</x:v>
      </x:c>
      <x:c r="C5" s="22" t="n">
        <x:f>'工序参数'!D5</x:f>
        <x:v>600</x:v>
      </x:c>
      <x:c r="D5" s="22" t="n">
        <x:f>'工序参数'!E5</x:f>
        <x:v>60</x:v>
      </x:c>
      <x:c r="E5" s="22" t="n">
        <x:f>IF(AND(ISNUMBER(B5),B5&gt;0),(C5+B5*D5)/60,"缺数量")</x:f>
        <x:v>30</x:v>
      </x:c>
      <x:c r="F5" s="22" t="n">
        <x:f>E5</x:f>
        <x:v>30</x:v>
      </x:c>
      <x:c r="G5" s="28" t="n">
        <x:f>IF(ISNUMBER($B$12),$B$12,"缺时间")</x:f>
        <x:v>46307.375</x:v>
      </x:c>
      <x:c r="H5" s="28" t="n">
        <x:f>IF(AND(ISNUMBER(G5),ISNUMBER(E5)),G5+E5/1440,"缺数量或时间")</x:f>
        <x:v>46307.395833333336</x:v>
      </x:c>
    </x:row>
    <x:row r="6" ht="28" customHeight="1">
      <x:c r="A6" s="2" t="str">
        <x:v>程序烧录</x:v>
      </x:c>
      <x:c r="B6" s="2" t="n">
        <x:f>$B$5</x:f>
        <x:v>20</x:v>
      </x:c>
      <x:c r="C6" s="22" t="n">
        <x:f>'工序参数'!D6</x:f>
        <x:v>300</x:v>
      </x:c>
      <x:c r="D6" s="22" t="n">
        <x:f>'工序参数'!E6</x:f>
        <x:v>30</x:v>
      </x:c>
      <x:c r="E6" s="22" t="n">
        <x:f>IF(AND(ISNUMBER(B6),B6&gt;0),(C6+B6*D6)/60,"缺数量")</x:f>
        <x:v>15</x:v>
      </x:c>
      <x:c r="F6" s="22" t="n">
        <x:f>IF(AND(ISNUMBER(F5),ISNUMBER(E6)),F5+E6,"缺数量")</x:f>
        <x:v>45</x:v>
      </x:c>
      <x:c r="G6" s="28" t="n">
        <x:f>H5</x:f>
        <x:v>46307.395833333336</x:v>
      </x:c>
      <x:c r="H6" s="28" t="n">
        <x:f>IF(AND(ISNUMBER(G6),ISNUMBER(E6)),G6+E6/1440,"缺数量或时间")</x:f>
        <x:v>46307.40625</x:v>
      </x:c>
    </x:row>
    <x:row r="7" ht="28" customHeight="1">
      <x:c r="A7" s="2" t="str">
        <x:v>功能测试</x:v>
      </x:c>
      <x:c r="B7" s="2" t="n">
        <x:f>$B$5</x:f>
        <x:v>20</x:v>
      </x:c>
      <x:c r="C7" s="22" t="n">
        <x:f>'工序参数'!D7</x:f>
        <x:v>300</x:v>
      </x:c>
      <x:c r="D7" s="22" t="n">
        <x:f>'工序参数'!E7</x:f>
        <x:v>90</x:v>
      </x:c>
      <x:c r="E7" s="22" t="n">
        <x:f>IF(AND(ISNUMBER(B7),B7&gt;0),(C7+B7*D7)/60,"缺数量")</x:f>
        <x:v>35</x:v>
      </x:c>
      <x:c r="F7" s="22" t="n">
        <x:f>IF(AND(ISNUMBER(F6),ISNUMBER(E7)),F6+E7,"缺数量")</x:f>
        <x:v>80</x:v>
      </x:c>
      <x:c r="G7" s="28" t="n">
        <x:f>H6</x:f>
        <x:v>46307.40625</x:v>
      </x:c>
      <x:c r="H7" s="28" t="n">
        <x:f>IF(AND(ISNUMBER(G7),ISNUMBER(E7)),G7+E7/1440,"缺数量或时间")</x:f>
        <x:v>46307.430555555555</x:v>
      </x:c>
    </x:row>
    <x:row r="8" ht="28" customHeight="1">
      <x:c r="A8" s="2" t="str">
        <x:v>外观检验</x:v>
      </x:c>
      <x:c r="B8" s="2" t="n">
        <x:f>$B$5</x:f>
        <x:v>20</x:v>
      </x:c>
      <x:c r="C8" s="22" t="n">
        <x:f>'工序参数'!D8</x:f>
        <x:v>0</x:v>
      </x:c>
      <x:c r="D8" s="22" t="n">
        <x:f>'工序参数'!E8</x:f>
        <x:v>30</x:v>
      </x:c>
      <x:c r="E8" s="22" t="n">
        <x:f>IF(AND(ISNUMBER(B8),B8&gt;0),(C8+B8*D8)/60,"缺数量")</x:f>
        <x:v>10</x:v>
      </x:c>
      <x:c r="F8" s="22" t="n">
        <x:f>IF(AND(ISNUMBER(F7),ISNUMBER(E8)),F7+E8,"缺数量")</x:f>
        <x:v>90</x:v>
      </x:c>
      <x:c r="G8" s="28" t="n">
        <x:f>H7</x:f>
        <x:v>46307.430555555555</x:v>
      </x:c>
      <x:c r="H8" s="28" t="n">
        <x:f>IF(AND(ISNUMBER(G8),ISNUMBER(E8)),G8+E8/1440,"缺数量或时间")</x:f>
        <x:v>46307.4375</x:v>
      </x:c>
    </x:row>
    <x:row r="9" ht="28" customHeight="1">
      <x:c r="A9" s="2" t="str">
        <x:v>包装</x:v>
      </x:c>
      <x:c r="B9" s="2" t="n">
        <x:f>$B$5</x:f>
        <x:v>20</x:v>
      </x:c>
      <x:c r="C9" s="22" t="n">
        <x:f>'工序参数'!D9</x:f>
        <x:v>0</x:v>
      </x:c>
      <x:c r="D9" s="22" t="n">
        <x:f>'工序参数'!E9</x:f>
        <x:v>30</x:v>
      </x:c>
      <x:c r="E9" s="22" t="n">
        <x:f>IF(AND(ISNUMBER(B9),B9&gt;0),(C9+B9*D9)/60,"缺数量")</x:f>
        <x:v>10</x:v>
      </x:c>
      <x:c r="F9" s="22" t="n">
        <x:f>IF(AND(ISNUMBER(F8),ISNUMBER(E9)),F8+E9,"缺数量")</x:f>
        <x:v>100</x:v>
      </x:c>
      <x:c r="G9" s="28" t="n">
        <x:f>H8</x:f>
        <x:v>46307.4375</x:v>
      </x:c>
      <x:c r="H9" s="28" t="n">
        <x:f>IF(AND(ISNUMBER(G9),ISNUMBER(E9)),G9+E9/1440,"缺数量或时间")</x:f>
        <x:v>46307.444444444445</x:v>
      </x:c>
    </x:row>
    <x:row r="11" ht="27" customHeight="1">
      <x:c r="A11" s="29" t="str">
        <x:v>总分钟</x:v>
      </x:c>
      <x:c r="B11" s="29" t="n">
        <x:f>IF(COUNT(E5:E9)=5,SUM(E5:E9),"缺数量")</x:f>
        <x:v>100</x:v>
      </x:c>
      <x:c r="C11" s="1"/>
      <x:c r="D11" s="1"/>
      <x:c r="E11" s="1"/>
      <x:c r="F11" s="1"/>
      <x:c r="G11" s="1"/>
      <x:c r="H11" s="1"/>
    </x:row>
    <x:row r="12" ht="36" customHeight="1">
      <x:c r="A12" s="31" t="str">
        <x:v>起始时间（北京时间）</x:v>
      </x:c>
      <x:c r="B12" s="30" t="n">
        <x:v>46307.375</x:v>
      </x:c>
      <x:c r="C12" s="1"/>
      <x:c r="D12" s="1"/>
      <x:c r="E12" s="1"/>
      <x:c r="F12" s="1"/>
      <x:c r="G12" s="1"/>
      <x:c r="H12" s="1"/>
    </x:row>
    <x:row r="13" ht="27" customHeight="1">
      <x:c r="A13" s="1" t="str">
        <x:v>范围</x:v>
      </x:c>
      <x:c r="B13" s="1" t="str">
        <x:v>只选001；全部齐套、合格；不考虑其他任务竞争</x:v>
      </x:c>
      <x:c r="C13" s="1"/>
      <x:c r="D13" s="1"/>
      <x:c r="E13" s="1"/>
      <x:c r="F13" s="1"/>
      <x:c r="G13" s="1"/>
      <x:c r="H13" s="1"/>
    </x:row>
  </x:sheetData>
  <x:dataValidations count="1">
    <x:dataValidation type="whole" operator="between" sqref="B5">
      <x:formula1>1</x:formula1>
      <x:formula2>1000</x:formula2>
    </x:dataValidation>
  </x:dataValidations>
  <x:pageMargins left="0.7" right="0.7" top="0.75" bottom="0.75" header="0.3" footer="0.3"/>
</x:worksheet>
</file>